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30" windowWidth="20730" windowHeight="9990" tabRatio="977" activeTab="12"/>
  </bookViews>
  <sheets>
    <sheet name="BCOM-TEL" sheetId="70" r:id="rId1"/>
    <sheet name="BCOM-HIN" sheetId="71" r:id="rId2"/>
    <sheet name="BCOM-TEL-POINTS" sheetId="72" r:id="rId3"/>
    <sheet name="CS TEL" sheetId="54" r:id="rId4"/>
    <sheet name="CS HIN" sheetId="55" r:id="rId5"/>
    <sheet name="CS DIS" sheetId="56" r:id="rId6"/>
    <sheet name="DS TEL" sheetId="57" r:id="rId7"/>
    <sheet name="DS HIN" sheetId="58" r:id="rId8"/>
    <sheet name="MB TEL" sheetId="49" r:id="rId9"/>
    <sheet name="MB HIN" sheetId="50" r:id="rId10"/>
    <sheet name="MB DIS" sheetId="51" r:id="rId11"/>
    <sheet name="FISH TEL" sheetId="47" r:id="rId12"/>
    <sheet name="FISH HIN" sheetId="48" r:id="rId13"/>
    <sheet name="ANIM TEL " sheetId="45" r:id="rId14"/>
    <sheet name="ANIM HIN" sheetId="46" r:id="rId15"/>
    <sheet name="AI-TEL" sheetId="62" r:id="rId16"/>
    <sheet name="AI-HIN" sheetId="69" r:id="rId17"/>
    <sheet name="CHEM TEL" sheetId="52" r:id="rId18"/>
    <sheet name="CHEM HIN" sheetId="53" r:id="rId19"/>
    <sheet name="BBA TEL" sheetId="27" r:id="rId20"/>
    <sheet name="BBA HIN" sheetId="64" r:id="rId21"/>
    <sheet name="BBA DM-TEL" sheetId="65" r:id="rId22"/>
    <sheet name="BBA DM-HIN" sheetId="66" r:id="rId23"/>
    <sheet name="BBA BA-TEL" sheetId="67" r:id="rId24"/>
    <sheet name="BBA BA-HIN" sheetId="68" r:id="rId25"/>
    <sheet name="BCA TEL" sheetId="42" r:id="rId26"/>
    <sheet name="BCA HIN" sheetId="43" r:id="rId27"/>
    <sheet name="BCA DIS" sheetId="44" r:id="rId28"/>
    <sheet name="BCA DS TEL" sheetId="59" r:id="rId29"/>
    <sheet name="BCA DS HIN" sheetId="60" r:id="rId30"/>
    <sheet name="BCA DS DIS" sheetId="61" r:id="rId31"/>
    <sheet name="BFSI TEL" sheetId="39" r:id="rId32"/>
    <sheet name="BFSI HIN" sheetId="40" r:id="rId33"/>
    <sheet name="Sheet1" sheetId="31" r:id="rId34"/>
    <sheet name="CS-TEL-II-SEM" sheetId="73" r:id="rId35"/>
  </sheets>
  <externalReferences>
    <externalReference r:id="rId36"/>
  </externalReferences>
  <definedNames>
    <definedName name="_xlnm._FilterDatabase" localSheetId="16" hidden="1">'AI-HIN'!$A$3:$O$51</definedName>
    <definedName name="_xlnm._FilterDatabase" localSheetId="15" hidden="1">'AI-TEL'!$A$3:$O$112</definedName>
    <definedName name="_xlnm._FilterDatabase" localSheetId="14" hidden="1">'ANIM HIN'!$A$1:$P$21</definedName>
    <definedName name="_xlnm._FilterDatabase" localSheetId="13" hidden="1">'ANIM TEL '!$A$1:$P$12</definedName>
    <definedName name="_xlnm._FilterDatabase" localSheetId="24" hidden="1">'BBA BA-HIN'!$A$3:$N$33</definedName>
    <definedName name="_xlnm._FilterDatabase" localSheetId="23" hidden="1">'BBA BA-TEL'!$A$3:$N$27</definedName>
    <definedName name="_xlnm._FilterDatabase" localSheetId="22" hidden="1">'BBA DM-HIN'!$A$3:$N$37</definedName>
    <definedName name="_xlnm._FilterDatabase" localSheetId="21" hidden="1">'BBA DM-TEL'!$A$3:$N$32</definedName>
    <definedName name="_xlnm._FilterDatabase" localSheetId="20" hidden="1">'BBA HIN'!$A$3:$N$67</definedName>
    <definedName name="_xlnm._FilterDatabase" localSheetId="19" hidden="1">'BBA TEL'!$A$3:$N$48</definedName>
    <definedName name="_xlnm._FilterDatabase" localSheetId="27" hidden="1">'BCA DIS'!$A$1:$P$3</definedName>
    <definedName name="_xlnm._FilterDatabase" localSheetId="30" hidden="1">'BCA DS DIS'!$A$1:$P$3</definedName>
    <definedName name="_xlnm._FilterDatabase" localSheetId="29" hidden="1">'BCA DS HIN'!$A$1:$P$46</definedName>
    <definedName name="_xlnm._FilterDatabase" localSheetId="28" hidden="1">'BCA DS TEL'!$A$1:$P$71</definedName>
    <definedName name="_xlnm._FilterDatabase" localSheetId="26" hidden="1">'BCA HIN'!$A$1:$P$109</definedName>
    <definedName name="_xlnm._FilterDatabase" localSheetId="25" hidden="1">'BCA TEL'!$A$1:$P$110</definedName>
    <definedName name="_xlnm._FilterDatabase" localSheetId="1" hidden="1">'BCOM-HIN'!$A$1:$P$29</definedName>
    <definedName name="_xlnm._FilterDatabase" localSheetId="2" hidden="1">'BCOM-TEL-POINTS'!$A$1:$AD$43</definedName>
    <definedName name="_xlnm._FilterDatabase" localSheetId="32" hidden="1">'BFSI HIN'!$A$1:$P$30</definedName>
    <definedName name="_xlnm._FilterDatabase" localSheetId="31" hidden="1">'BFSI TEL'!$A$3:$P$30</definedName>
    <definedName name="_xlnm._FilterDatabase" localSheetId="18" hidden="1">'CHEM HIN'!$A$1:$P$25</definedName>
    <definedName name="_xlnm._FilterDatabase" localSheetId="17" hidden="1">'CHEM TEL'!$A$1:$P$30</definedName>
    <definedName name="_xlnm._FilterDatabase" localSheetId="5" hidden="1">'CS DIS'!$A$1:$Q$3</definedName>
    <definedName name="_xlnm._FilterDatabase" localSheetId="4" hidden="1">'CS HIN'!$R$2:$S$97</definedName>
    <definedName name="_xlnm._FilterDatabase" localSheetId="3" hidden="1">'CS TEL'!$R$2:$S$206</definedName>
    <definedName name="_xlnm._FilterDatabase" localSheetId="34" hidden="1">'CS-TEL-II-SEM'!$A$1:$H$3</definedName>
    <definedName name="_xlnm._FilterDatabase" localSheetId="7" hidden="1">'DS HIN'!$A$2:$S$54</definedName>
    <definedName name="_xlnm._FilterDatabase" localSheetId="6" hidden="1">'DS TEL'!$A$2:$S$2</definedName>
    <definedName name="_xlnm._FilterDatabase" localSheetId="12" hidden="1">'FISH HIN'!$A$2:$S$2</definedName>
    <definedName name="_xlnm._FilterDatabase" localSheetId="11" hidden="1">'FISH TEL'!$A$2:$S$32</definedName>
    <definedName name="_xlnm._FilterDatabase" localSheetId="10" hidden="1">'MB DIS'!$A$1:$Q$3</definedName>
    <definedName name="_xlnm._FilterDatabase" localSheetId="9" hidden="1">'MB HIN'!$A$2:$S$2</definedName>
    <definedName name="_xlnm._FilterDatabase" localSheetId="8" hidden="1">'MB TEL'!$A$2:$S$2</definedName>
    <definedName name="_xlnm.Print_Titles" localSheetId="16">'AI-HIN'!$1:$4</definedName>
    <definedName name="_xlnm.Print_Titles" localSheetId="15">'AI-TEL'!$1:$4</definedName>
    <definedName name="_xlnm.Print_Titles" localSheetId="24">'BBA BA-HIN'!$1:$4</definedName>
    <definedName name="_xlnm.Print_Titles" localSheetId="23">'BBA BA-TEL'!$1:$4</definedName>
    <definedName name="_xlnm.Print_Titles" localSheetId="22">'BBA DM-HIN'!$1:$4</definedName>
    <definedName name="_xlnm.Print_Titles" localSheetId="21">'BBA DM-TEL'!$1:$4</definedName>
    <definedName name="_xlnm.Print_Titles" localSheetId="20">'BBA HIN'!$1:$4</definedName>
    <definedName name="_xlnm.Print_Titles" localSheetId="19">'BBA TEL'!$1:$4</definedName>
    <definedName name="_xlnm.Print_Titles" localSheetId="1">'BCOM-HIN'!$1:$2</definedName>
    <definedName name="_xlnm.Print_Titles" localSheetId="0">'BCOM-TEL'!#REF!</definedName>
    <definedName name="_xlnm.Print_Titles" localSheetId="2">'BCOM-TEL-POINTS'!$1:$1</definedName>
  </definedNames>
  <calcPr calcId="124519" calcMode="manual"/>
</workbook>
</file>

<file path=xl/calcChain.xml><?xml version="1.0" encoding="utf-8"?>
<calcChain xmlns="http://schemas.openxmlformats.org/spreadsheetml/2006/main">
  <c r="S4" i="48"/>
  <c r="S5"/>
  <c r="S6"/>
  <c r="S7"/>
  <c r="S8"/>
  <c r="S9"/>
  <c r="S10"/>
  <c r="S11"/>
  <c r="S12"/>
  <c r="S13"/>
  <c r="S14"/>
  <c r="S3"/>
  <c r="S4" i="47"/>
  <c r="S5"/>
  <c r="S6"/>
  <c r="S7"/>
  <c r="S8"/>
  <c r="S9"/>
  <c r="S10"/>
  <c r="S11"/>
  <c r="S12"/>
  <c r="S13"/>
  <c r="S14"/>
  <c r="S15"/>
  <c r="S16"/>
  <c r="S17"/>
  <c r="S18"/>
  <c r="S19"/>
  <c r="S20"/>
  <c r="S21"/>
  <c r="S22"/>
  <c r="S23"/>
  <c r="S24"/>
  <c r="S25"/>
  <c r="S26"/>
  <c r="S27"/>
  <c r="S28"/>
  <c r="S29"/>
  <c r="S30"/>
  <c r="S31"/>
  <c r="S32"/>
  <c r="S3"/>
  <c r="D4" i="48" l="1"/>
  <c r="D5" s="1"/>
  <c r="D6" s="1"/>
  <c r="D7" s="1"/>
  <c r="D8" s="1"/>
  <c r="D9" s="1"/>
  <c r="D10" s="1"/>
  <c r="D11" s="1"/>
  <c r="D12" s="1"/>
  <c r="D13" s="1"/>
  <c r="D14" s="1"/>
  <c r="D4" i="47"/>
  <c r="D5" s="1"/>
  <c r="D6" s="1"/>
  <c r="D7" s="1"/>
  <c r="D8" s="1"/>
  <c r="D9" s="1"/>
  <c r="D10" s="1"/>
  <c r="D11" s="1"/>
  <c r="D12" s="1"/>
  <c r="D13" s="1"/>
  <c r="D14" s="1"/>
  <c r="D15" s="1"/>
  <c r="D16" s="1"/>
  <c r="D17" s="1"/>
  <c r="D18" s="1"/>
  <c r="D19" s="1"/>
  <c r="D20" s="1"/>
  <c r="D21" s="1"/>
  <c r="D22" s="1"/>
  <c r="D23" s="1"/>
  <c r="D24" s="1"/>
  <c r="D25" s="1"/>
  <c r="D26" s="1"/>
  <c r="D27" s="1"/>
  <c r="D28" s="1"/>
  <c r="D29" s="1"/>
  <c r="D30" s="1"/>
  <c r="D31" s="1"/>
  <c r="D32" s="1"/>
  <c r="S3" i="51" l="1"/>
  <c r="S4" i="50"/>
  <c r="S5"/>
  <c r="S6"/>
  <c r="S7"/>
  <c r="S8"/>
  <c r="S9"/>
  <c r="S10"/>
  <c r="S11"/>
  <c r="S12"/>
  <c r="S13"/>
  <c r="S14"/>
  <c r="S15"/>
  <c r="S16"/>
  <c r="S17"/>
  <c r="S18"/>
  <c r="S19"/>
  <c r="S20"/>
  <c r="S3"/>
  <c r="D5"/>
  <c r="D6" s="1"/>
  <c r="D7" s="1"/>
  <c r="D8" s="1"/>
  <c r="D9" s="1"/>
  <c r="D10" s="1"/>
  <c r="D11" s="1"/>
  <c r="D12" s="1"/>
  <c r="D13" s="1"/>
  <c r="D14" s="1"/>
  <c r="D15" s="1"/>
  <c r="D16" s="1"/>
  <c r="D17" s="1"/>
  <c r="D18" s="1"/>
  <c r="D19" s="1"/>
  <c r="D20" s="1"/>
  <c r="D4"/>
  <c r="D4" i="49"/>
  <c r="D5" s="1"/>
  <c r="D6" s="1"/>
  <c r="D7" s="1"/>
  <c r="D8" s="1"/>
  <c r="D9" s="1"/>
  <c r="D10" s="1"/>
  <c r="D11" s="1"/>
  <c r="D12" s="1"/>
  <c r="D13" s="1"/>
  <c r="D14" s="1"/>
  <c r="D15" s="1"/>
  <c r="D16" s="1"/>
  <c r="D17" s="1"/>
  <c r="D18" s="1"/>
  <c r="D19" s="1"/>
  <c r="D20" s="1"/>
  <c r="D21" s="1"/>
  <c r="D22" s="1"/>
  <c r="D23" s="1"/>
  <c r="D24" s="1"/>
  <c r="D25" s="1"/>
  <c r="D26" s="1"/>
  <c r="D27" s="1"/>
  <c r="D28" s="1"/>
  <c r="D29" s="1"/>
  <c r="D30" s="1"/>
  <c r="D31" s="1"/>
  <c r="D32" s="1"/>
  <c r="D33" s="1"/>
  <c r="S4"/>
  <c r="S5"/>
  <c r="S6"/>
  <c r="S7"/>
  <c r="S8"/>
  <c r="S9"/>
  <c r="S10"/>
  <c r="S11"/>
  <c r="S12"/>
  <c r="S13"/>
  <c r="S14"/>
  <c r="S15"/>
  <c r="S16"/>
  <c r="S17"/>
  <c r="S18"/>
  <c r="S19"/>
  <c r="S20"/>
  <c r="S21"/>
  <c r="S22"/>
  <c r="S23"/>
  <c r="S24"/>
  <c r="S25"/>
  <c r="S26"/>
  <c r="S27"/>
  <c r="S28"/>
  <c r="S29"/>
  <c r="S30"/>
  <c r="S31"/>
  <c r="S32"/>
  <c r="S33"/>
  <c r="S3"/>
  <c r="S4" i="58"/>
  <c r="S5"/>
  <c r="S6"/>
  <c r="S7"/>
  <c r="S8"/>
  <c r="S9"/>
  <c r="S10"/>
  <c r="S11"/>
  <c r="S12"/>
  <c r="S13"/>
  <c r="S14"/>
  <c r="S15"/>
  <c r="S16"/>
  <c r="S17"/>
  <c r="S18"/>
  <c r="S19"/>
  <c r="S20"/>
  <c r="S21"/>
  <c r="S22"/>
  <c r="S23"/>
  <c r="S24"/>
  <c r="S25"/>
  <c r="S26"/>
  <c r="S27"/>
  <c r="S28"/>
  <c r="S29"/>
  <c r="S30"/>
  <c r="S31"/>
  <c r="S32"/>
  <c r="S33"/>
  <c r="S34"/>
  <c r="S35"/>
  <c r="S36"/>
  <c r="S37"/>
  <c r="S38"/>
  <c r="S39"/>
  <c r="S40"/>
  <c r="S41"/>
  <c r="S42"/>
  <c r="S43"/>
  <c r="S44"/>
  <c r="S45"/>
  <c r="S46"/>
  <c r="S47"/>
  <c r="S48"/>
  <c r="S49"/>
  <c r="S50"/>
  <c r="S51"/>
  <c r="S52"/>
  <c r="S53"/>
  <c r="S54"/>
  <c r="S3"/>
  <c r="S102" i="57"/>
  <c r="S103"/>
  <c r="S4"/>
  <c r="S5"/>
  <c r="S6"/>
  <c r="S7"/>
  <c r="S8"/>
  <c r="S9"/>
  <c r="S10"/>
  <c r="S11"/>
  <c r="S12"/>
  <c r="S13"/>
  <c r="S14"/>
  <c r="S15"/>
  <c r="S16"/>
  <c r="S17"/>
  <c r="S18"/>
  <c r="S19"/>
  <c r="S20"/>
  <c r="S21"/>
  <c r="S22"/>
  <c r="S23"/>
  <c r="S24"/>
  <c r="S25"/>
  <c r="S26"/>
  <c r="S27"/>
  <c r="S28"/>
  <c r="S29"/>
  <c r="S30"/>
  <c r="S31"/>
  <c r="S32"/>
  <c r="S33"/>
  <c r="S34"/>
  <c r="S35"/>
  <c r="S36"/>
  <c r="S37"/>
  <c r="S38"/>
  <c r="S39"/>
  <c r="S40"/>
  <c r="S41"/>
  <c r="S42"/>
  <c r="S43"/>
  <c r="S44"/>
  <c r="S45"/>
  <c r="S46"/>
  <c r="S47"/>
  <c r="S48"/>
  <c r="S49"/>
  <c r="S50"/>
  <c r="S51"/>
  <c r="S52"/>
  <c r="S53"/>
  <c r="S54"/>
  <c r="S55"/>
  <c r="S56"/>
  <c r="S57"/>
  <c r="S58"/>
  <c r="S59"/>
  <c r="S60"/>
  <c r="S61"/>
  <c r="S62"/>
  <c r="S63"/>
  <c r="S64"/>
  <c r="S65"/>
  <c r="S66"/>
  <c r="S67"/>
  <c r="S68"/>
  <c r="S69"/>
  <c r="S70"/>
  <c r="S71"/>
  <c r="S72"/>
  <c r="S73"/>
  <c r="S74"/>
  <c r="S75"/>
  <c r="S76"/>
  <c r="S77"/>
  <c r="S78"/>
  <c r="S79"/>
  <c r="S80"/>
  <c r="S81"/>
  <c r="S82"/>
  <c r="S83"/>
  <c r="S84"/>
  <c r="S85"/>
  <c r="S86"/>
  <c r="S87"/>
  <c r="S88"/>
  <c r="S89"/>
  <c r="S90"/>
  <c r="S91"/>
  <c r="S92"/>
  <c r="S93"/>
  <c r="S94"/>
  <c r="S95"/>
  <c r="S96"/>
  <c r="S97"/>
  <c r="S98"/>
  <c r="S99"/>
  <c r="S100"/>
  <c r="S101"/>
  <c r="S3"/>
  <c r="R3" i="56"/>
  <c r="S3" s="1"/>
  <c r="D5" i="58" l="1"/>
  <c r="D6" s="1"/>
  <c r="D7" s="1"/>
  <c r="D8" s="1"/>
  <c r="D9" s="1"/>
  <c r="D10" s="1"/>
  <c r="D11" s="1"/>
  <c r="D12" s="1"/>
  <c r="D13" s="1"/>
  <c r="D14" s="1"/>
  <c r="D15" s="1"/>
  <c r="D16" s="1"/>
  <c r="D17" s="1"/>
  <c r="D18" s="1"/>
  <c r="D19" s="1"/>
  <c r="D20" s="1"/>
  <c r="D21" s="1"/>
  <c r="D22" s="1"/>
  <c r="D23" s="1"/>
  <c r="D24" s="1"/>
  <c r="D25" s="1"/>
  <c r="D26" s="1"/>
  <c r="D27" s="1"/>
  <c r="D28" s="1"/>
  <c r="D29" s="1"/>
  <c r="D30" s="1"/>
  <c r="D31" s="1"/>
  <c r="D32" s="1"/>
  <c r="D33" s="1"/>
  <c r="D34" s="1"/>
  <c r="D35" s="1"/>
  <c r="D36" s="1"/>
  <c r="D37" s="1"/>
  <c r="D38" s="1"/>
  <c r="D39" s="1"/>
  <c r="D40" s="1"/>
  <c r="D41" s="1"/>
  <c r="D42" s="1"/>
  <c r="D43" s="1"/>
  <c r="D44" s="1"/>
  <c r="D45" s="1"/>
  <c r="D46" s="1"/>
  <c r="D47" s="1"/>
  <c r="D48" s="1"/>
  <c r="D49" s="1"/>
  <c r="D50" s="1"/>
  <c r="D51" s="1"/>
  <c r="D52" s="1"/>
  <c r="D53" s="1"/>
  <c r="D54" s="1"/>
  <c r="D4"/>
  <c r="S4" i="55" l="1"/>
  <c r="S5"/>
  <c r="S6"/>
  <c r="S7"/>
  <c r="S8"/>
  <c r="S9"/>
  <c r="S10"/>
  <c r="S11"/>
  <c r="S12"/>
  <c r="S13"/>
  <c r="S14"/>
  <c r="S15"/>
  <c r="S16"/>
  <c r="S17"/>
  <c r="S18"/>
  <c r="S19"/>
  <c r="S20"/>
  <c r="S21"/>
  <c r="S22"/>
  <c r="S23"/>
  <c r="S24"/>
  <c r="S25"/>
  <c r="S26"/>
  <c r="S27"/>
  <c r="S28"/>
  <c r="S29"/>
  <c r="S30"/>
  <c r="S31"/>
  <c r="S32"/>
  <c r="S33"/>
  <c r="S34"/>
  <c r="S35"/>
  <c r="S36"/>
  <c r="S37"/>
  <c r="S38"/>
  <c r="S39"/>
  <c r="S40"/>
  <c r="S41"/>
  <c r="S42"/>
  <c r="S43"/>
  <c r="S44"/>
  <c r="S45"/>
  <c r="S46"/>
  <c r="S47"/>
  <c r="S48"/>
  <c r="S49"/>
  <c r="S50"/>
  <c r="S51"/>
  <c r="S52"/>
  <c r="S53"/>
  <c r="S54"/>
  <c r="S55"/>
  <c r="S56"/>
  <c r="S57"/>
  <c r="S58"/>
  <c r="S59"/>
  <c r="S60"/>
  <c r="S61"/>
  <c r="S62"/>
  <c r="S63"/>
  <c r="S64"/>
  <c r="S65"/>
  <c r="S66"/>
  <c r="S67"/>
  <c r="S68"/>
  <c r="S69"/>
  <c r="S70"/>
  <c r="S71"/>
  <c r="S72"/>
  <c r="S73"/>
  <c r="S74"/>
  <c r="S75"/>
  <c r="S76"/>
  <c r="S77"/>
  <c r="S78"/>
  <c r="S79"/>
  <c r="S80"/>
  <c r="S81"/>
  <c r="S82"/>
  <c r="S83"/>
  <c r="S84"/>
  <c r="S85"/>
  <c r="S86"/>
  <c r="S87"/>
  <c r="S88"/>
  <c r="S89"/>
  <c r="S90"/>
  <c r="S91"/>
  <c r="S92"/>
  <c r="S93"/>
  <c r="S94"/>
  <c r="S95"/>
  <c r="S96"/>
  <c r="S97"/>
  <c r="S3"/>
  <c r="S4" i="54" l="1"/>
  <c r="S5"/>
  <c r="S6"/>
  <c r="S7"/>
  <c r="S8"/>
  <c r="S9"/>
  <c r="S10"/>
  <c r="S11"/>
  <c r="S12"/>
  <c r="S13"/>
  <c r="S14"/>
  <c r="S15"/>
  <c r="S16"/>
  <c r="S17"/>
  <c r="S18"/>
  <c r="S19"/>
  <c r="S20"/>
  <c r="S21"/>
  <c r="S22"/>
  <c r="S23"/>
  <c r="S24"/>
  <c r="S25"/>
  <c r="S26"/>
  <c r="S27"/>
  <c r="S28"/>
  <c r="S29"/>
  <c r="S30"/>
  <c r="S31"/>
  <c r="S32"/>
  <c r="S33"/>
  <c r="S34"/>
  <c r="S35"/>
  <c r="S36"/>
  <c r="S37"/>
  <c r="S38"/>
  <c r="S39"/>
  <c r="S40"/>
  <c r="S41"/>
  <c r="S42"/>
  <c r="S43"/>
  <c r="S44"/>
  <c r="S45"/>
  <c r="S46"/>
  <c r="S47"/>
  <c r="S48"/>
  <c r="S49"/>
  <c r="S50"/>
  <c r="S51"/>
  <c r="S52"/>
  <c r="S53"/>
  <c r="S54"/>
  <c r="S55"/>
  <c r="S56"/>
  <c r="S57"/>
  <c r="S58"/>
  <c r="S59"/>
  <c r="S60"/>
  <c r="S61"/>
  <c r="S62"/>
  <c r="S63"/>
  <c r="S64"/>
  <c r="S65"/>
  <c r="S66"/>
  <c r="S67"/>
  <c r="S68"/>
  <c r="S69"/>
  <c r="S70"/>
  <c r="S71"/>
  <c r="S72"/>
  <c r="S73"/>
  <c r="S74"/>
  <c r="S75"/>
  <c r="S76"/>
  <c r="S77"/>
  <c r="S78"/>
  <c r="S79"/>
  <c r="S80"/>
  <c r="S81"/>
  <c r="S82"/>
  <c r="S83"/>
  <c r="S84"/>
  <c r="S85"/>
  <c r="S86"/>
  <c r="S87"/>
  <c r="S88"/>
  <c r="S89"/>
  <c r="S90"/>
  <c r="S91"/>
  <c r="S92"/>
  <c r="S93"/>
  <c r="S94"/>
  <c r="S95"/>
  <c r="S96"/>
  <c r="S97"/>
  <c r="S98"/>
  <c r="S99"/>
  <c r="S100"/>
  <c r="S101"/>
  <c r="S102"/>
  <c r="S103"/>
  <c r="S104"/>
  <c r="S105"/>
  <c r="S106"/>
  <c r="S107"/>
  <c r="S108"/>
  <c r="S109"/>
  <c r="S110"/>
  <c r="S111"/>
  <c r="S112"/>
  <c r="S113"/>
  <c r="S114"/>
  <c r="S115"/>
  <c r="S116"/>
  <c r="S117"/>
  <c r="S118"/>
  <c r="S119"/>
  <c r="S120"/>
  <c r="S121"/>
  <c r="S122"/>
  <c r="S123"/>
  <c r="S124"/>
  <c r="S125"/>
  <c r="S126"/>
  <c r="S127"/>
  <c r="S128"/>
  <c r="S129"/>
  <c r="S130"/>
  <c r="S131"/>
  <c r="S132"/>
  <c r="S133"/>
  <c r="S134"/>
  <c r="S135"/>
  <c r="S136"/>
  <c r="S137"/>
  <c r="S138"/>
  <c r="S139"/>
  <c r="S140"/>
  <c r="S141"/>
  <c r="S142"/>
  <c r="S143"/>
  <c r="S144"/>
  <c r="S145"/>
  <c r="S146"/>
  <c r="S147"/>
  <c r="S148"/>
  <c r="S149"/>
  <c r="S150"/>
  <c r="S151"/>
  <c r="S152"/>
  <c r="S153"/>
  <c r="S154"/>
  <c r="S155"/>
  <c r="S156"/>
  <c r="S157"/>
  <c r="S158"/>
  <c r="S159"/>
  <c r="S160"/>
  <c r="S161"/>
  <c r="S162"/>
  <c r="S163"/>
  <c r="S164"/>
  <c r="S165"/>
  <c r="S166"/>
  <c r="S167"/>
  <c r="S168"/>
  <c r="S169"/>
  <c r="S170"/>
  <c r="S171"/>
  <c r="S172"/>
  <c r="S173"/>
  <c r="S174"/>
  <c r="S175"/>
  <c r="S176"/>
  <c r="S177"/>
  <c r="S178"/>
  <c r="S179"/>
  <c r="S180"/>
  <c r="S181"/>
  <c r="S182"/>
  <c r="S183"/>
  <c r="S184"/>
  <c r="S185"/>
  <c r="S186"/>
  <c r="S187"/>
  <c r="S188"/>
  <c r="S189"/>
  <c r="S190"/>
  <c r="S191"/>
  <c r="S192"/>
  <c r="S193"/>
  <c r="S194"/>
  <c r="S195"/>
  <c r="S196"/>
  <c r="S197"/>
  <c r="S198"/>
  <c r="S199"/>
  <c r="S200"/>
  <c r="S201"/>
  <c r="S202"/>
  <c r="S203"/>
  <c r="S204"/>
  <c r="S205"/>
  <c r="S206"/>
  <c r="S3"/>
  <c r="D4" i="57"/>
  <c r="D5" s="1"/>
  <c r="D6" s="1"/>
  <c r="D7" s="1"/>
  <c r="D8" s="1"/>
  <c r="D9" s="1"/>
  <c r="D10" s="1"/>
  <c r="D11" s="1"/>
  <c r="D12" s="1"/>
  <c r="D13" s="1"/>
  <c r="D14" s="1"/>
  <c r="D15" s="1"/>
  <c r="D16" s="1"/>
  <c r="D17" s="1"/>
  <c r="D18" s="1"/>
  <c r="D19" s="1"/>
  <c r="D20" s="1"/>
  <c r="D21" s="1"/>
  <c r="D22" s="1"/>
  <c r="D23" s="1"/>
  <c r="D24" s="1"/>
  <c r="D25" s="1"/>
  <c r="D26" s="1"/>
  <c r="D27" s="1"/>
  <c r="D28" s="1"/>
  <c r="D29" s="1"/>
  <c r="D30" s="1"/>
  <c r="D31" s="1"/>
  <c r="D32" s="1"/>
  <c r="D33" s="1"/>
  <c r="D34" s="1"/>
  <c r="D35" s="1"/>
  <c r="D36" s="1"/>
  <c r="D37" s="1"/>
  <c r="D38" s="1"/>
  <c r="D39" s="1"/>
  <c r="D40" s="1"/>
  <c r="D41" s="1"/>
  <c r="D42" s="1"/>
  <c r="D43" s="1"/>
  <c r="D44" s="1"/>
  <c r="D45" s="1"/>
  <c r="D46" s="1"/>
  <c r="D47" s="1"/>
  <c r="D48" s="1"/>
  <c r="D49" s="1"/>
  <c r="D50" s="1"/>
  <c r="D51" s="1"/>
  <c r="D52" s="1"/>
  <c r="D53" s="1"/>
  <c r="D54" s="1"/>
  <c r="D55" s="1"/>
  <c r="D56" s="1"/>
  <c r="D57" s="1"/>
  <c r="D58" s="1"/>
  <c r="D59" s="1"/>
  <c r="D60" s="1"/>
  <c r="D61" s="1"/>
  <c r="D62" s="1"/>
  <c r="D63" s="1"/>
  <c r="D64" s="1"/>
  <c r="D65" s="1"/>
  <c r="D66" s="1"/>
  <c r="D67" s="1"/>
  <c r="D68" s="1"/>
  <c r="D69" s="1"/>
  <c r="D70" s="1"/>
  <c r="D71" s="1"/>
  <c r="D72" s="1"/>
  <c r="D73" s="1"/>
  <c r="D74" s="1"/>
  <c r="D75" s="1"/>
  <c r="D76" s="1"/>
  <c r="D77" s="1"/>
  <c r="D78" s="1"/>
  <c r="D79" s="1"/>
  <c r="D80" s="1"/>
  <c r="D81" s="1"/>
  <c r="D82" s="1"/>
  <c r="D83" s="1"/>
  <c r="D84" s="1"/>
  <c r="D85" s="1"/>
  <c r="D86" s="1"/>
  <c r="D87" s="1"/>
  <c r="D88" s="1"/>
  <c r="D89" s="1"/>
  <c r="D90" s="1"/>
  <c r="D91" s="1"/>
  <c r="D92" s="1"/>
  <c r="D93" s="1"/>
  <c r="D94" s="1"/>
  <c r="D95" s="1"/>
  <c r="D96" s="1"/>
  <c r="D97" s="1"/>
  <c r="D98" s="1"/>
  <c r="D99" s="1"/>
  <c r="D100" s="1"/>
  <c r="D101" s="1"/>
  <c r="D102" s="1"/>
  <c r="D103" s="1"/>
  <c r="D4" i="55"/>
  <c r="D5" s="1"/>
  <c r="D6" s="1"/>
  <c r="D7" s="1"/>
  <c r="D8" s="1"/>
  <c r="D9" s="1"/>
  <c r="D10" s="1"/>
  <c r="D11" s="1"/>
  <c r="D12" s="1"/>
  <c r="D13" s="1"/>
  <c r="D14" s="1"/>
  <c r="D15" s="1"/>
  <c r="D16" s="1"/>
  <c r="D17" s="1"/>
  <c r="D18" s="1"/>
  <c r="D19" s="1"/>
  <c r="D20" s="1"/>
  <c r="D21" s="1"/>
  <c r="D22" s="1"/>
  <c r="D23" s="1"/>
  <c r="D24" s="1"/>
  <c r="D25" s="1"/>
  <c r="D26" s="1"/>
  <c r="D27" s="1"/>
  <c r="D28" s="1"/>
  <c r="D29" s="1"/>
  <c r="D30" s="1"/>
  <c r="D31" s="1"/>
  <c r="D32" s="1"/>
  <c r="D33" s="1"/>
  <c r="D34" s="1"/>
  <c r="D35" s="1"/>
  <c r="D36" s="1"/>
  <c r="D37" s="1"/>
  <c r="D38" s="1"/>
  <c r="D39" s="1"/>
  <c r="D40" s="1"/>
  <c r="D41" s="1"/>
  <c r="D42" s="1"/>
  <c r="D43" s="1"/>
  <c r="D44" s="1"/>
  <c r="D45" s="1"/>
  <c r="D46" s="1"/>
  <c r="D47" s="1"/>
  <c r="D48" s="1"/>
  <c r="D49" s="1"/>
  <c r="D50" s="1"/>
  <c r="D51" s="1"/>
  <c r="D52" s="1"/>
  <c r="D53" s="1"/>
  <c r="D54" s="1"/>
  <c r="D55" s="1"/>
  <c r="D56" s="1"/>
  <c r="D57" s="1"/>
  <c r="D58" s="1"/>
  <c r="D59" s="1"/>
  <c r="D60" s="1"/>
  <c r="D61" s="1"/>
  <c r="D62" s="1"/>
  <c r="D63" s="1"/>
  <c r="D64" s="1"/>
  <c r="D65" s="1"/>
  <c r="D66" s="1"/>
  <c r="D67" s="1"/>
  <c r="D68" s="1"/>
  <c r="D69" s="1"/>
  <c r="D70" s="1"/>
  <c r="D71" s="1"/>
  <c r="D72" s="1"/>
  <c r="D73" s="1"/>
  <c r="D74" s="1"/>
  <c r="D75" s="1"/>
  <c r="D76" s="1"/>
  <c r="D77" s="1"/>
  <c r="D78" s="1"/>
  <c r="D79" s="1"/>
  <c r="D80" s="1"/>
  <c r="D81" s="1"/>
  <c r="D82" s="1"/>
  <c r="D83" s="1"/>
  <c r="D84" s="1"/>
  <c r="D85" s="1"/>
  <c r="D86" s="1"/>
  <c r="D87" s="1"/>
  <c r="D88" s="1"/>
  <c r="D89" s="1"/>
  <c r="D90" s="1"/>
  <c r="D91" s="1"/>
  <c r="D92" s="1"/>
  <c r="D93" s="1"/>
  <c r="D94" s="1"/>
  <c r="D95" s="1"/>
  <c r="D96" s="1"/>
  <c r="D97" s="1"/>
  <c r="O2" i="70" l="1"/>
  <c r="S2" i="73" l="1"/>
  <c r="D5" i="54" l="1"/>
  <c r="D6" s="1"/>
  <c r="D7" s="1"/>
  <c r="D8" s="1"/>
  <c r="D9" s="1"/>
  <c r="D10" s="1"/>
  <c r="D11" s="1"/>
  <c r="D12" s="1"/>
  <c r="D13" s="1"/>
  <c r="D14" s="1"/>
  <c r="D15" s="1"/>
  <c r="D16" s="1"/>
  <c r="D17" s="1"/>
  <c r="D18" s="1"/>
  <c r="D19" s="1"/>
  <c r="D20" s="1"/>
  <c r="D21" s="1"/>
  <c r="D22" s="1"/>
  <c r="D23" s="1"/>
  <c r="D24" s="1"/>
  <c r="D25" s="1"/>
  <c r="D26" s="1"/>
  <c r="D27" s="1"/>
  <c r="D28" s="1"/>
  <c r="D29" s="1"/>
  <c r="D30" s="1"/>
  <c r="D31" s="1"/>
  <c r="D32" s="1"/>
  <c r="D33" s="1"/>
  <c r="D34" s="1"/>
  <c r="D35" s="1"/>
  <c r="D36" s="1"/>
  <c r="D37" s="1"/>
  <c r="D38" s="1"/>
  <c r="D39" s="1"/>
  <c r="D40" s="1"/>
  <c r="D41" s="1"/>
  <c r="D42" s="1"/>
  <c r="D43" s="1"/>
  <c r="D44" s="1"/>
  <c r="D45" s="1"/>
  <c r="D46" s="1"/>
  <c r="D47" s="1"/>
  <c r="D48" s="1"/>
  <c r="D49" s="1"/>
  <c r="D50" s="1"/>
  <c r="D51" s="1"/>
  <c r="D52" s="1"/>
  <c r="D53" s="1"/>
  <c r="D54" s="1"/>
  <c r="D55" s="1"/>
  <c r="D56" s="1"/>
  <c r="D57" s="1"/>
  <c r="D58" s="1"/>
  <c r="D59" s="1"/>
  <c r="D60" s="1"/>
  <c r="D61" s="1"/>
  <c r="D62" s="1"/>
  <c r="D63" s="1"/>
  <c r="D64" s="1"/>
  <c r="D65" s="1"/>
  <c r="D66" s="1"/>
  <c r="D67" s="1"/>
  <c r="D68" s="1"/>
  <c r="D69" s="1"/>
  <c r="D70" s="1"/>
  <c r="D71" s="1"/>
  <c r="D72" s="1"/>
  <c r="D73" s="1"/>
  <c r="D74" s="1"/>
  <c r="D75" s="1"/>
  <c r="D76" s="1"/>
  <c r="D77" s="1"/>
  <c r="D78" s="1"/>
  <c r="D79" s="1"/>
  <c r="D80" s="1"/>
  <c r="D81" s="1"/>
  <c r="D82" s="1"/>
  <c r="D83" s="1"/>
  <c r="D84" s="1"/>
  <c r="D85" s="1"/>
  <c r="D86" s="1"/>
  <c r="D87" s="1"/>
  <c r="D88" s="1"/>
  <c r="D89" s="1"/>
  <c r="D90" s="1"/>
  <c r="D91" s="1"/>
  <c r="D92" s="1"/>
  <c r="D93" s="1"/>
  <c r="D94" s="1"/>
  <c r="D95" s="1"/>
  <c r="D96" s="1"/>
  <c r="D97" s="1"/>
  <c r="D98" s="1"/>
  <c r="D99" s="1"/>
  <c r="D100" s="1"/>
  <c r="D101" s="1"/>
  <c r="D102" s="1"/>
  <c r="D103" s="1"/>
  <c r="D104" s="1"/>
  <c r="D105" s="1"/>
  <c r="D106" s="1"/>
  <c r="D107" s="1"/>
  <c r="D108" s="1"/>
  <c r="D109" s="1"/>
  <c r="D110" s="1"/>
  <c r="D111" s="1"/>
  <c r="D112" s="1"/>
  <c r="D113" s="1"/>
  <c r="D114" s="1"/>
  <c r="D115" s="1"/>
  <c r="D116" s="1"/>
  <c r="D117" s="1"/>
  <c r="D118" s="1"/>
  <c r="D119" s="1"/>
  <c r="D120" s="1"/>
  <c r="D121" s="1"/>
  <c r="D122" s="1"/>
  <c r="D123" s="1"/>
  <c r="D124" s="1"/>
  <c r="D125" s="1"/>
  <c r="D126" s="1"/>
  <c r="D127" s="1"/>
  <c r="D128" s="1"/>
  <c r="D129" s="1"/>
  <c r="D130" s="1"/>
  <c r="D131" s="1"/>
  <c r="D132" s="1"/>
  <c r="D133" s="1"/>
  <c r="D134" s="1"/>
  <c r="D135" s="1"/>
  <c r="D136" s="1"/>
  <c r="D137" s="1"/>
  <c r="D138" s="1"/>
  <c r="D139" s="1"/>
  <c r="D140" s="1"/>
  <c r="D141" s="1"/>
  <c r="D142" s="1"/>
  <c r="D143" s="1"/>
  <c r="D144" s="1"/>
  <c r="D145" s="1"/>
  <c r="D146" s="1"/>
  <c r="D147" s="1"/>
  <c r="D148" s="1"/>
  <c r="D149" s="1"/>
  <c r="D150" s="1"/>
  <c r="D151" s="1"/>
  <c r="D152" s="1"/>
  <c r="D153" s="1"/>
  <c r="D154" s="1"/>
  <c r="D155" s="1"/>
  <c r="D156" s="1"/>
  <c r="D157" s="1"/>
  <c r="D158" s="1"/>
  <c r="D159" s="1"/>
  <c r="D160" s="1"/>
  <c r="D161" s="1"/>
  <c r="D162" s="1"/>
  <c r="D163" s="1"/>
  <c r="D164" s="1"/>
  <c r="D165" s="1"/>
  <c r="D166" s="1"/>
  <c r="D167" s="1"/>
  <c r="D168" s="1"/>
  <c r="D169" s="1"/>
  <c r="D170" s="1"/>
  <c r="D171" s="1"/>
  <c r="D172" s="1"/>
  <c r="D173" s="1"/>
  <c r="D174" s="1"/>
  <c r="D175" s="1"/>
  <c r="D176" s="1"/>
  <c r="D177" s="1"/>
  <c r="D178" s="1"/>
  <c r="D179" s="1"/>
  <c r="D180" s="1"/>
  <c r="D181" s="1"/>
  <c r="D182" s="1"/>
  <c r="D183" s="1"/>
  <c r="D184" s="1"/>
  <c r="D185" s="1"/>
  <c r="D186" s="1"/>
  <c r="D187" s="1"/>
  <c r="D188" s="1"/>
  <c r="D189" s="1"/>
  <c r="D190" s="1"/>
  <c r="D191" s="1"/>
  <c r="D192" s="1"/>
  <c r="D193" s="1"/>
  <c r="D194" s="1"/>
  <c r="D195" s="1"/>
  <c r="D196" s="1"/>
  <c r="D197" s="1"/>
  <c r="D198" s="1"/>
  <c r="D199" s="1"/>
  <c r="D200" s="1"/>
  <c r="D201" s="1"/>
  <c r="D202" s="1"/>
  <c r="D203" s="1"/>
  <c r="D204" s="1"/>
  <c r="D205" s="1"/>
  <c r="D206" s="1"/>
  <c r="D4"/>
  <c r="Y43" i="72"/>
  <c r="Z43" s="1"/>
  <c r="V43"/>
  <c r="W43" s="1"/>
  <c r="S43"/>
  <c r="T43" s="1"/>
  <c r="P43"/>
  <c r="Q43" s="1"/>
  <c r="M43"/>
  <c r="N43" s="1"/>
  <c r="J43"/>
  <c r="AA43" s="1"/>
  <c r="Z42"/>
  <c r="Y42"/>
  <c r="W42"/>
  <c r="V42"/>
  <c r="T42"/>
  <c r="S42"/>
  <c r="Q42"/>
  <c r="P42"/>
  <c r="N42"/>
  <c r="M42"/>
  <c r="K42"/>
  <c r="AB42" s="1"/>
  <c r="J42"/>
  <c r="AA42" s="1"/>
  <c r="Y41"/>
  <c r="Z41" s="1"/>
  <c r="V41"/>
  <c r="W41" s="1"/>
  <c r="S41"/>
  <c r="T41" s="1"/>
  <c r="P41"/>
  <c r="Q41" s="1"/>
  <c r="M41"/>
  <c r="N41" s="1"/>
  <c r="J41"/>
  <c r="AA41" s="1"/>
  <c r="Z40"/>
  <c r="Y40"/>
  <c r="W40"/>
  <c r="V40"/>
  <c r="T40"/>
  <c r="S40"/>
  <c r="Q40"/>
  <c r="P40"/>
  <c r="N40"/>
  <c r="M40"/>
  <c r="K40"/>
  <c r="AB40" s="1"/>
  <c r="J40"/>
  <c r="AA40" s="1"/>
  <c r="Y39"/>
  <c r="Z39" s="1"/>
  <c r="V39"/>
  <c r="W39" s="1"/>
  <c r="S39"/>
  <c r="T39" s="1"/>
  <c r="P39"/>
  <c r="Q39" s="1"/>
  <c r="M39"/>
  <c r="N39" s="1"/>
  <c r="J39"/>
  <c r="AA39" s="1"/>
  <c r="Z38"/>
  <c r="Y38"/>
  <c r="W38"/>
  <c r="V38"/>
  <c r="T38"/>
  <c r="S38"/>
  <c r="Q38"/>
  <c r="P38"/>
  <c r="N38"/>
  <c r="M38"/>
  <c r="K38"/>
  <c r="AB38" s="1"/>
  <c r="J38"/>
  <c r="AA38" s="1"/>
  <c r="Y37"/>
  <c r="Z37" s="1"/>
  <c r="V37"/>
  <c r="W37" s="1"/>
  <c r="S37"/>
  <c r="T37" s="1"/>
  <c r="P37"/>
  <c r="Q37" s="1"/>
  <c r="M37"/>
  <c r="N37" s="1"/>
  <c r="J37"/>
  <c r="AA37" s="1"/>
  <c r="Z36"/>
  <c r="Y36"/>
  <c r="W36"/>
  <c r="V36"/>
  <c r="T36"/>
  <c r="S36"/>
  <c r="Q36"/>
  <c r="P36"/>
  <c r="N36"/>
  <c r="M36"/>
  <c r="K36"/>
  <c r="AB36" s="1"/>
  <c r="J36"/>
  <c r="AA36" s="1"/>
  <c r="Y35"/>
  <c r="Z35" s="1"/>
  <c r="V35"/>
  <c r="W35" s="1"/>
  <c r="S35"/>
  <c r="T35" s="1"/>
  <c r="P35"/>
  <c r="Q35" s="1"/>
  <c r="M35"/>
  <c r="N35" s="1"/>
  <c r="J35"/>
  <c r="AA35" s="1"/>
  <c r="Z34"/>
  <c r="Y34"/>
  <c r="W34"/>
  <c r="V34"/>
  <c r="T34"/>
  <c r="S34"/>
  <c r="Q34"/>
  <c r="P34"/>
  <c r="N34"/>
  <c r="M34"/>
  <c r="K34"/>
  <c r="AB34" s="1"/>
  <c r="J34"/>
  <c r="AA34" s="1"/>
  <c r="Y33"/>
  <c r="Z33" s="1"/>
  <c r="V33"/>
  <c r="W33" s="1"/>
  <c r="S33"/>
  <c r="T33" s="1"/>
  <c r="P33"/>
  <c r="Q33" s="1"/>
  <c r="M33"/>
  <c r="N33" s="1"/>
  <c r="J33"/>
  <c r="AA33" s="1"/>
  <c r="Z32"/>
  <c r="Y32"/>
  <c r="W32"/>
  <c r="V32"/>
  <c r="T32"/>
  <c r="S32"/>
  <c r="Q32"/>
  <c r="P32"/>
  <c r="N32"/>
  <c r="M32"/>
  <c r="K32"/>
  <c r="AB32" s="1"/>
  <c r="J32"/>
  <c r="AA32" s="1"/>
  <c r="Y31"/>
  <c r="Z31" s="1"/>
  <c r="V31"/>
  <c r="W31" s="1"/>
  <c r="S31"/>
  <c r="T31" s="1"/>
  <c r="P31"/>
  <c r="Q31" s="1"/>
  <c r="M31"/>
  <c r="N31" s="1"/>
  <c r="J31"/>
  <c r="AA31" s="1"/>
  <c r="Z30"/>
  <c r="Y30"/>
  <c r="W30"/>
  <c r="V30"/>
  <c r="T30"/>
  <c r="S30"/>
  <c r="Q30"/>
  <c r="P30"/>
  <c r="N30"/>
  <c r="M30"/>
  <c r="K30"/>
  <c r="AB30" s="1"/>
  <c r="J30"/>
  <c r="AA30" s="1"/>
  <c r="Y29"/>
  <c r="Z29" s="1"/>
  <c r="V29"/>
  <c r="W29" s="1"/>
  <c r="S29"/>
  <c r="T29" s="1"/>
  <c r="P29"/>
  <c r="Q29" s="1"/>
  <c r="M29"/>
  <c r="N29" s="1"/>
  <c r="J29"/>
  <c r="AA29" s="1"/>
  <c r="Z28"/>
  <c r="Y28"/>
  <c r="W28"/>
  <c r="V28"/>
  <c r="T28"/>
  <c r="S28"/>
  <c r="Q28"/>
  <c r="P28"/>
  <c r="N28"/>
  <c r="M28"/>
  <c r="K28"/>
  <c r="AB28" s="1"/>
  <c r="J28"/>
  <c r="AA28" s="1"/>
  <c r="Y27"/>
  <c r="Z27" s="1"/>
  <c r="V27"/>
  <c r="W27" s="1"/>
  <c r="S27"/>
  <c r="T27" s="1"/>
  <c r="P27"/>
  <c r="Q27" s="1"/>
  <c r="M27"/>
  <c r="N27" s="1"/>
  <c r="J27"/>
  <c r="AA27" s="1"/>
  <c r="Z26"/>
  <c r="Y26"/>
  <c r="W26"/>
  <c r="V26"/>
  <c r="T26"/>
  <c r="S26"/>
  <c r="Q26"/>
  <c r="P26"/>
  <c r="N26"/>
  <c r="M26"/>
  <c r="K26"/>
  <c r="AB26" s="1"/>
  <c r="J26"/>
  <c r="AA26" s="1"/>
  <c r="Y25"/>
  <c r="Z25" s="1"/>
  <c r="V25"/>
  <c r="W25" s="1"/>
  <c r="S25"/>
  <c r="T25" s="1"/>
  <c r="P25"/>
  <c r="Q25" s="1"/>
  <c r="M25"/>
  <c r="N25" s="1"/>
  <c r="J25"/>
  <c r="AA25" s="1"/>
  <c r="Z24"/>
  <c r="Y24"/>
  <c r="W24"/>
  <c r="V24"/>
  <c r="T24"/>
  <c r="S24"/>
  <c r="Q24"/>
  <c r="P24"/>
  <c r="N24"/>
  <c r="M24"/>
  <c r="K24"/>
  <c r="AB24" s="1"/>
  <c r="J24"/>
  <c r="AA24" s="1"/>
  <c r="Y23"/>
  <c r="Z23" s="1"/>
  <c r="V23"/>
  <c r="W23" s="1"/>
  <c r="S23"/>
  <c r="T23" s="1"/>
  <c r="P23"/>
  <c r="Q23" s="1"/>
  <c r="M23"/>
  <c r="N23" s="1"/>
  <c r="J23"/>
  <c r="AA23" s="1"/>
  <c r="Z22"/>
  <c r="Y22"/>
  <c r="W22"/>
  <c r="V22"/>
  <c r="T22"/>
  <c r="S22"/>
  <c r="Q22"/>
  <c r="P22"/>
  <c r="N22"/>
  <c r="M22"/>
  <c r="K22"/>
  <c r="AB22" s="1"/>
  <c r="J22"/>
  <c r="AA22" s="1"/>
  <c r="Y21"/>
  <c r="Z21" s="1"/>
  <c r="V21"/>
  <c r="W21" s="1"/>
  <c r="S21"/>
  <c r="T21" s="1"/>
  <c r="P21"/>
  <c r="Q21" s="1"/>
  <c r="M21"/>
  <c r="N21" s="1"/>
  <c r="J21"/>
  <c r="AA21" s="1"/>
  <c r="Z20"/>
  <c r="Y20"/>
  <c r="W20"/>
  <c r="V20"/>
  <c r="T20"/>
  <c r="S20"/>
  <c r="Q20"/>
  <c r="P20"/>
  <c r="N20"/>
  <c r="M20"/>
  <c r="K20"/>
  <c r="AB20" s="1"/>
  <c r="J20"/>
  <c r="AA20" s="1"/>
  <c r="Y19"/>
  <c r="Z19" s="1"/>
  <c r="V19"/>
  <c r="W19" s="1"/>
  <c r="S19"/>
  <c r="T19" s="1"/>
  <c r="P19"/>
  <c r="Q19" s="1"/>
  <c r="M19"/>
  <c r="N19" s="1"/>
  <c r="J19"/>
  <c r="AA19" s="1"/>
  <c r="Z18"/>
  <c r="Y18"/>
  <c r="W18"/>
  <c r="V18"/>
  <c r="T18"/>
  <c r="S18"/>
  <c r="Q18"/>
  <c r="P18"/>
  <c r="N18"/>
  <c r="M18"/>
  <c r="K18"/>
  <c r="AB18" s="1"/>
  <c r="J18"/>
  <c r="AA18" s="1"/>
  <c r="Y17"/>
  <c r="Z17" s="1"/>
  <c r="V17"/>
  <c r="W17" s="1"/>
  <c r="S17"/>
  <c r="T17" s="1"/>
  <c r="P17"/>
  <c r="Q17" s="1"/>
  <c r="M17"/>
  <c r="N17" s="1"/>
  <c r="J17"/>
  <c r="AA17" s="1"/>
  <c r="Z16"/>
  <c r="Y16"/>
  <c r="W16"/>
  <c r="V16"/>
  <c r="T16"/>
  <c r="S16"/>
  <c r="Q16"/>
  <c r="P16"/>
  <c r="N16"/>
  <c r="M16"/>
  <c r="K16"/>
  <c r="AB16" s="1"/>
  <c r="J16"/>
  <c r="AA16" s="1"/>
  <c r="Y15"/>
  <c r="Z15" s="1"/>
  <c r="V15"/>
  <c r="W15" s="1"/>
  <c r="S15"/>
  <c r="T15" s="1"/>
  <c r="P15"/>
  <c r="Q15" s="1"/>
  <c r="M15"/>
  <c r="N15" s="1"/>
  <c r="J15"/>
  <c r="AA15" s="1"/>
  <c r="Z14"/>
  <c r="Y14"/>
  <c r="W14"/>
  <c r="V14"/>
  <c r="T14"/>
  <c r="S14"/>
  <c r="Q14"/>
  <c r="P14"/>
  <c r="N14"/>
  <c r="M14"/>
  <c r="K14"/>
  <c r="AB14" s="1"/>
  <c r="J14"/>
  <c r="AA14" s="1"/>
  <c r="Y13"/>
  <c r="Z13" s="1"/>
  <c r="V13"/>
  <c r="W13" s="1"/>
  <c r="S13"/>
  <c r="T13" s="1"/>
  <c r="P13"/>
  <c r="Q13" s="1"/>
  <c r="M13"/>
  <c r="N13" s="1"/>
  <c r="J13"/>
  <c r="AA13" s="1"/>
  <c r="Z12"/>
  <c r="Y12"/>
  <c r="W12"/>
  <c r="V12"/>
  <c r="T12"/>
  <c r="S12"/>
  <c r="Q12"/>
  <c r="P12"/>
  <c r="N12"/>
  <c r="M12"/>
  <c r="K12"/>
  <c r="AB12" s="1"/>
  <c r="J12"/>
  <c r="AA12" s="1"/>
  <c r="Y11"/>
  <c r="Z11" s="1"/>
  <c r="V11"/>
  <c r="W11" s="1"/>
  <c r="S11"/>
  <c r="T11" s="1"/>
  <c r="P11"/>
  <c r="Q11" s="1"/>
  <c r="M11"/>
  <c r="N11" s="1"/>
  <c r="J11"/>
  <c r="AA11" s="1"/>
  <c r="Z10"/>
  <c r="Y10"/>
  <c r="W10"/>
  <c r="V10"/>
  <c r="T10"/>
  <c r="S10"/>
  <c r="Q10"/>
  <c r="P10"/>
  <c r="N10"/>
  <c r="M10"/>
  <c r="K10"/>
  <c r="AB10" s="1"/>
  <c r="J10"/>
  <c r="AA10" s="1"/>
  <c r="Y9"/>
  <c r="Z9" s="1"/>
  <c r="V9"/>
  <c r="W9" s="1"/>
  <c r="S9"/>
  <c r="T9" s="1"/>
  <c r="P9"/>
  <c r="Q9" s="1"/>
  <c r="M9"/>
  <c r="N9" s="1"/>
  <c r="J9"/>
  <c r="AA9" s="1"/>
  <c r="Z8"/>
  <c r="Y8"/>
  <c r="W8"/>
  <c r="V8"/>
  <c r="T8"/>
  <c r="S8"/>
  <c r="Q8"/>
  <c r="P8"/>
  <c r="N8"/>
  <c r="M8"/>
  <c r="K8"/>
  <c r="AB8" s="1"/>
  <c r="J8"/>
  <c r="AA8" s="1"/>
  <c r="Y7"/>
  <c r="Z7" s="1"/>
  <c r="V7"/>
  <c r="W7" s="1"/>
  <c r="S7"/>
  <c r="T7" s="1"/>
  <c r="P7"/>
  <c r="Q7" s="1"/>
  <c r="M7"/>
  <c r="N7" s="1"/>
  <c r="J7"/>
  <c r="AA7" s="1"/>
  <c r="Z6"/>
  <c r="Y6"/>
  <c r="W6"/>
  <c r="V6"/>
  <c r="T6"/>
  <c r="S6"/>
  <c r="Q6"/>
  <c r="P6"/>
  <c r="N6"/>
  <c r="M6"/>
  <c r="K6"/>
  <c r="AB6" s="1"/>
  <c r="J6"/>
  <c r="AA6" s="1"/>
  <c r="Y5"/>
  <c r="Z5" s="1"/>
  <c r="V5"/>
  <c r="W5" s="1"/>
  <c r="S5"/>
  <c r="T5" s="1"/>
  <c r="P5"/>
  <c r="Q5" s="1"/>
  <c r="M5"/>
  <c r="N5" s="1"/>
  <c r="J5"/>
  <c r="AA5" s="1"/>
  <c r="Z4"/>
  <c r="Y4"/>
  <c r="W4"/>
  <c r="V4"/>
  <c r="T4"/>
  <c r="S4"/>
  <c r="Q4"/>
  <c r="P4"/>
  <c r="N4"/>
  <c r="M4"/>
  <c r="K4"/>
  <c r="AB4" s="1"/>
  <c r="J4"/>
  <c r="AA4" s="1"/>
  <c r="D4"/>
  <c r="D5" s="1"/>
  <c r="D6" s="1"/>
  <c r="D7" s="1"/>
  <c r="D8" s="1"/>
  <c r="D9" s="1"/>
  <c r="D10" s="1"/>
  <c r="D11" s="1"/>
  <c r="D12" s="1"/>
  <c r="D13" s="1"/>
  <c r="D14" s="1"/>
  <c r="D15" s="1"/>
  <c r="D16" s="1"/>
  <c r="D17" s="1"/>
  <c r="D18" s="1"/>
  <c r="D19" s="1"/>
  <c r="D20" s="1"/>
  <c r="D21" s="1"/>
  <c r="D22" s="1"/>
  <c r="D23" s="1"/>
  <c r="D24" s="1"/>
  <c r="D25" s="1"/>
  <c r="D26" s="1"/>
  <c r="D27" s="1"/>
  <c r="D28" s="1"/>
  <c r="D29" s="1"/>
  <c r="D30" s="1"/>
  <c r="D31" s="1"/>
  <c r="D32" s="1"/>
  <c r="D33" s="1"/>
  <c r="D34" s="1"/>
  <c r="D35" s="1"/>
  <c r="D36" s="1"/>
  <c r="D37" s="1"/>
  <c r="D38" s="1"/>
  <c r="D39" s="1"/>
  <c r="D40" s="1"/>
  <c r="D41" s="1"/>
  <c r="D42" s="1"/>
  <c r="D43" s="1"/>
  <c r="Y3"/>
  <c r="Z3" s="1"/>
  <c r="V3"/>
  <c r="W3" s="1"/>
  <c r="S3"/>
  <c r="T3" s="1"/>
  <c r="P3"/>
  <c r="Q3" s="1"/>
  <c r="M3"/>
  <c r="N3" s="1"/>
  <c r="J3"/>
  <c r="K3" s="1"/>
  <c r="AB3" s="1"/>
  <c r="D3"/>
  <c r="Z2"/>
  <c r="Y2"/>
  <c r="W2"/>
  <c r="V2"/>
  <c r="T2"/>
  <c r="S2"/>
  <c r="Q2"/>
  <c r="P2"/>
  <c r="N2"/>
  <c r="M2"/>
  <c r="K2"/>
  <c r="AB2" s="1"/>
  <c r="J2"/>
  <c r="AA2" s="1"/>
  <c r="AA3" l="1"/>
  <c r="K7"/>
  <c r="AB7" s="1"/>
  <c r="K11"/>
  <c r="AB11" s="1"/>
  <c r="K15"/>
  <c r="AB15" s="1"/>
  <c r="K19"/>
  <c r="AB19" s="1"/>
  <c r="K23"/>
  <c r="AB23" s="1"/>
  <c r="K27"/>
  <c r="AB27" s="1"/>
  <c r="K31"/>
  <c r="AB31" s="1"/>
  <c r="K35"/>
  <c r="AB35" s="1"/>
  <c r="K39"/>
  <c r="AB39" s="1"/>
  <c r="K43"/>
  <c r="AB43" s="1"/>
  <c r="K5"/>
  <c r="AB5" s="1"/>
  <c r="K9"/>
  <c r="AB9" s="1"/>
  <c r="K13"/>
  <c r="AB13" s="1"/>
  <c r="K17"/>
  <c r="AB17" s="1"/>
  <c r="K21"/>
  <c r="AB21" s="1"/>
  <c r="K25"/>
  <c r="AB25" s="1"/>
  <c r="K29"/>
  <c r="AB29" s="1"/>
  <c r="K33"/>
  <c r="AB33" s="1"/>
  <c r="K37"/>
  <c r="AB37" s="1"/>
  <c r="K41"/>
  <c r="AB41" s="1"/>
  <c r="D5" i="71"/>
  <c r="D6"/>
  <c r="D7" s="1"/>
  <c r="D8" s="1"/>
  <c r="D9" s="1"/>
  <c r="D10" s="1"/>
  <c r="D11" s="1"/>
  <c r="D12" s="1"/>
  <c r="D13" s="1"/>
  <c r="D14" s="1"/>
  <c r="D15" s="1"/>
  <c r="D16" s="1"/>
  <c r="D17" s="1"/>
  <c r="D18" s="1"/>
  <c r="D19" s="1"/>
  <c r="D20" s="1"/>
  <c r="D21" s="1"/>
  <c r="D22" s="1"/>
  <c r="D23" s="1"/>
  <c r="D24" s="1"/>
  <c r="D25" s="1"/>
  <c r="D26" s="1"/>
  <c r="D27" s="1"/>
  <c r="D28" s="1"/>
  <c r="D29" s="1"/>
  <c r="D4"/>
  <c r="D4" i="70"/>
  <c r="D5" s="1"/>
  <c r="D6" s="1"/>
  <c r="D7" s="1"/>
  <c r="D8" s="1"/>
  <c r="D9" s="1"/>
  <c r="D10" s="1"/>
  <c r="D11" s="1"/>
  <c r="D12" s="1"/>
  <c r="D13" s="1"/>
  <c r="D14" s="1"/>
  <c r="D15" s="1"/>
  <c r="D16" s="1"/>
  <c r="D17" s="1"/>
  <c r="D18" s="1"/>
  <c r="D19" s="1"/>
  <c r="D20" s="1"/>
  <c r="D21" s="1"/>
  <c r="D22" s="1"/>
  <c r="D23" s="1"/>
  <c r="D24" s="1"/>
  <c r="D25" s="1"/>
  <c r="D26" s="1"/>
  <c r="D27" s="1"/>
  <c r="D28" s="1"/>
  <c r="D29" s="1"/>
  <c r="D30" s="1"/>
  <c r="D31" s="1"/>
  <c r="D32" s="1"/>
  <c r="D33" s="1"/>
  <c r="D34" s="1"/>
  <c r="D35" s="1"/>
  <c r="D36" s="1"/>
  <c r="D37" s="1"/>
  <c r="D38" s="1"/>
  <c r="D39" s="1"/>
  <c r="D40" s="1"/>
  <c r="D41" s="1"/>
  <c r="D42" s="1"/>
  <c r="D43" s="1"/>
  <c r="D44" s="1"/>
  <c r="O2" i="71" l="1"/>
  <c r="N4" i="69"/>
  <c r="M4" i="68"/>
  <c r="M4" i="67"/>
  <c r="M4" i="66"/>
  <c r="M4" i="65"/>
  <c r="M4" i="64"/>
  <c r="N4" i="62"/>
  <c r="O2" i="61"/>
  <c r="O2" i="60"/>
  <c r="O2" i="59"/>
  <c r="P2" i="58"/>
  <c r="P2" i="57"/>
  <c r="P2" i="56"/>
  <c r="P2" i="55"/>
  <c r="P2" i="54"/>
  <c r="O2" i="53"/>
  <c r="O2" i="52"/>
  <c r="P2" i="51"/>
  <c r="P2" i="50"/>
  <c r="P2" i="49"/>
  <c r="P2" i="48"/>
  <c r="P2" i="47"/>
  <c r="O2" i="46"/>
  <c r="O2" i="45"/>
  <c r="O2" i="44"/>
  <c r="O2" i="43"/>
  <c r="O2" i="42"/>
  <c r="O2" i="40"/>
  <c r="O4" i="39"/>
  <c r="M4" i="27"/>
</calcChain>
</file>

<file path=xl/sharedStrings.xml><?xml version="1.0" encoding="utf-8"?>
<sst xmlns="http://schemas.openxmlformats.org/spreadsheetml/2006/main" count="18418" uniqueCount="1551">
  <si>
    <t>BRANCH</t>
  </si>
  <si>
    <t>S.NO</t>
  </si>
  <si>
    <t>A+</t>
  </si>
  <si>
    <t>A</t>
  </si>
  <si>
    <t>B+</t>
  </si>
  <si>
    <t>B</t>
  </si>
  <si>
    <t>C</t>
  </si>
  <si>
    <t>FAIL</t>
  </si>
  <si>
    <t>O</t>
  </si>
  <si>
    <t>SGPA</t>
  </si>
  <si>
    <t>RESULT</t>
  </si>
  <si>
    <t>D</t>
  </si>
  <si>
    <t>HALL TICKET</t>
  </si>
  <si>
    <t>STUDENT NAME</t>
  </si>
  <si>
    <t>GROUP</t>
  </si>
  <si>
    <t>ADC KKD</t>
  </si>
  <si>
    <t>SUC NUMBER</t>
  </si>
  <si>
    <t>PASS</t>
  </si>
  <si>
    <t>ANIM</t>
  </si>
  <si>
    <t>DS</t>
  </si>
  <si>
    <t>CHEM</t>
  </si>
  <si>
    <t>FISH</t>
  </si>
  <si>
    <t>BCA</t>
  </si>
  <si>
    <t>BCOM</t>
  </si>
  <si>
    <t>BFSI</t>
  </si>
  <si>
    <t>BBA BA</t>
  </si>
  <si>
    <t>BBA DM</t>
  </si>
  <si>
    <t>MB</t>
  </si>
  <si>
    <t>BCA DS</t>
  </si>
  <si>
    <t>CS</t>
  </si>
  <si>
    <t>AI</t>
  </si>
  <si>
    <t>LANGUAGE</t>
  </si>
  <si>
    <t>ADAPA SAI MANIKANTA</t>
  </si>
  <si>
    <t xml:space="preserve">BBA </t>
  </si>
  <si>
    <t>T</t>
  </si>
  <si>
    <t>ADAPA SARITHA</t>
  </si>
  <si>
    <t>ANNAMPALLI PREM RAKSHITH</t>
  </si>
  <si>
    <t>ANUPOJU VENKATA NAGA DURGA LAKSHMI</t>
  </si>
  <si>
    <t>BATTILA VENKATA GANESH</t>
  </si>
  <si>
    <t>BATTULA PREM KUMAR</t>
  </si>
  <si>
    <t>BUDDHALA SATYA SAI DURGA SANTHOSH</t>
  </si>
  <si>
    <t>CHEEPURUPALLI AJITHA KUMAR</t>
  </si>
  <si>
    <t>CHITTURI JAI ROHITH</t>
  </si>
  <si>
    <t>CHOKKA NIRIKSHAN KUMAR</t>
  </si>
  <si>
    <t>DASARI MANI GANESH</t>
  </si>
  <si>
    <t>DUVVA DEVI</t>
  </si>
  <si>
    <t>GANDHAM RUPENDRA GANGAVEERU</t>
  </si>
  <si>
    <t>GANTA JYOTHISH</t>
  </si>
  <si>
    <t>GOTTALA PRAVALLIKA</t>
  </si>
  <si>
    <t>GOVARSHANAM MANOBHIRAM</t>
  </si>
  <si>
    <t>GULLIPALLI YOGI</t>
  </si>
  <si>
    <t>JAKKEE AKHIL RAJ</t>
  </si>
  <si>
    <t>KANDULA RAJESH</t>
  </si>
  <si>
    <t>KANURI SRINIVAS ANIL</t>
  </si>
  <si>
    <t>KONDISETTI EESHITHA</t>
  </si>
  <si>
    <t>KOTHAPALLI LASYA KRISHNA SRI</t>
  </si>
  <si>
    <t>KURAMDASU JAGADEESH</t>
  </si>
  <si>
    <t>KURUMELLA DURGA GANGA VENKATA LAKSHMI</t>
  </si>
  <si>
    <t>KURUSAM MEENAKSHI</t>
  </si>
  <si>
    <t>MEDISETTI BHUVANA VENKATA DHANA LAHARI</t>
  </si>
  <si>
    <t>MULLAPUDI MAHA LAKSHMI SRI</t>
  </si>
  <si>
    <t>NALAM JASWANTH KUMAR</t>
  </si>
  <si>
    <t>NAMA LAKSHMI DEEKSHITA</t>
  </si>
  <si>
    <t>NANGANA DURGA SIVA PRASAD</t>
  </si>
  <si>
    <t>NELLIPUDI BRAHMA SRI SAI</t>
  </si>
  <si>
    <t>PACHIPALA VEERA NAGAMANI</t>
  </si>
  <si>
    <t>PADALA VARNIKA</t>
  </si>
  <si>
    <t>PARIMI RAMU</t>
  </si>
  <si>
    <t>PUNYAMANTHULA S S R PAVAN KUMAR</t>
  </si>
  <si>
    <t>RIMMALAPUDI SUJITH KUMAR</t>
  </si>
  <si>
    <t>SATHI BHAGAVAN REDDY</t>
  </si>
  <si>
    <t>SEERAM VEERA DURGA SREE PAVAN</t>
  </si>
  <si>
    <t>TAMMINA CHODAK AKSHAJ</t>
  </si>
  <si>
    <t>TANARI GANGAGOWTHAM</t>
  </si>
  <si>
    <t>THADI DEEPIKA</t>
  </si>
  <si>
    <t>THOGU YUKSHITA</t>
  </si>
  <si>
    <t>UBBANA SURYA TEJA</t>
  </si>
  <si>
    <t>VUNDAMATLA SIVA</t>
  </si>
  <si>
    <t xml:space="preserve">ENGLISH </t>
  </si>
  <si>
    <t>TELUGU</t>
  </si>
  <si>
    <t>INTRODUCTION TO ARTIFICIAL INTELLIGENCE</t>
  </si>
  <si>
    <t>ACCOUNTING FOR MANAGERS</t>
  </si>
  <si>
    <t>PRINCIPLES OF MANAGEMENT</t>
  </si>
  <si>
    <t>HINDI</t>
  </si>
  <si>
    <t>ALLANKI SATYA KOUSHIK SAI</t>
  </si>
  <si>
    <t>H</t>
  </si>
  <si>
    <t>ANUSURI ANIL KUMAR</t>
  </si>
  <si>
    <t>DEVADA ASRITHA</t>
  </si>
  <si>
    <t>ATMAKURI RAM TEJA</t>
  </si>
  <si>
    <t>BHOGIREDDY DURGA PRASAD</t>
  </si>
  <si>
    <t xml:space="preserve">BONAM NAGENDRA </t>
  </si>
  <si>
    <t>BONAM VENKATESH</t>
  </si>
  <si>
    <t>CHIKKALA VEERA VENKATA CHARAN TEJA</t>
  </si>
  <si>
    <t>CHILLA RAMALAKSHMI</t>
  </si>
  <si>
    <t>CHINTA SIDVI SRUJAN KUMAR</t>
  </si>
  <si>
    <t>DESHNA JAIN</t>
  </si>
  <si>
    <t>DEVARAKONDA RAMA KRISHNA</t>
  </si>
  <si>
    <t>EKANSH JAIN</t>
  </si>
  <si>
    <t>GADIRAJU BHARGAVA VARMA</t>
  </si>
  <si>
    <t>JAKKANI HARI KRISHNA</t>
  </si>
  <si>
    <t xml:space="preserve">KADIM SANTHOSH </t>
  </si>
  <si>
    <t>KODAMATI SATYA SAI SRI</t>
  </si>
  <si>
    <t>KORUPOLU SAI RUPA DATTA GANESH</t>
  </si>
  <si>
    <t>KOTHA RAVI KIRAN</t>
  </si>
  <si>
    <t>KRISHA SATAWAT JAIN</t>
  </si>
  <si>
    <t>KRISS JAIN</t>
  </si>
  <si>
    <t>KRIYA JAIN</t>
  </si>
  <si>
    <t>KUDIPUDI KEERTHANA</t>
  </si>
  <si>
    <t>KUKKALA DEVI SRI VENJATA VISHNU VARDHAN</t>
  </si>
  <si>
    <t>MADDULA AKSHAY</t>
  </si>
  <si>
    <t>MAHADIK DEVENDAR</t>
  </si>
  <si>
    <t>MANIKYAM SATYA NAGA GANGA VENU KUMAR</t>
  </si>
  <si>
    <t>MARIYA PARMAR</t>
  </si>
  <si>
    <t>MARUKURTHI ANANTHA VENKATESWARA RAO</t>
  </si>
  <si>
    <t>MOHAMMAD OUZAN KHAN DURRANI</t>
  </si>
  <si>
    <t>MOKATI SRI LAKSHMI AISHWARYA</t>
  </si>
  <si>
    <t>MOSA HASINI</t>
  </si>
  <si>
    <t>MUNGAMURI JOHN DEVADAS</t>
  </si>
  <si>
    <t>MUTYALA VENKATA GANDHI VIVEK</t>
  </si>
  <si>
    <t>NAGANAPUDI MADHU SUDHANA RAJU</t>
  </si>
  <si>
    <t>NAMALA SIVA GANESH</t>
  </si>
  <si>
    <t>NARAM SRI LAKSHMI GANESH</t>
  </si>
  <si>
    <t>NIYATHI JAIN</t>
  </si>
  <si>
    <t>NUNNA BHANU KIRAN</t>
  </si>
  <si>
    <t>PARAMATA BALAJI</t>
  </si>
  <si>
    <t>PIDUGU VEERA SIVA</t>
  </si>
  <si>
    <t>RAJANA DURGA PRASAD</t>
  </si>
  <si>
    <t>RAYAPALLI VAMSI RAM</t>
  </si>
  <si>
    <t>RAYUDU JASWANTH</t>
  </si>
  <si>
    <t>RAYUDU VEERA VENKATA LOKESH</t>
  </si>
  <si>
    <t>RISHI KUMAR P JAIN</t>
  </si>
  <si>
    <t>RUTHALA DURGA RAM KUMAR</t>
  </si>
  <si>
    <t>SAYYED IRFAN</t>
  </si>
  <si>
    <t>SHAIK MASTAN</t>
  </si>
  <si>
    <t>SHEIK ABDHUL SATTAR</t>
  </si>
  <si>
    <t>SHEIK HAZARATH GOUSE</t>
  </si>
  <si>
    <t>SONI LAXIT</t>
  </si>
  <si>
    <t>TADOJU KAVYANJALI</t>
  </si>
  <si>
    <t>TAMMANA ANJANA</t>
  </si>
  <si>
    <t>TULIKA BALA</t>
  </si>
  <si>
    <t>VADDADI SRI RAMYA</t>
  </si>
  <si>
    <t>VARI DHANUSH KARTHIK</t>
  </si>
  <si>
    <t>VASAMSETTI SIVA RAMA KRISHNA</t>
  </si>
  <si>
    <t>VATTURI MANOHAR</t>
  </si>
  <si>
    <t>VENNA NAGA SIVASATYA SRI PARDHASARADHI</t>
  </si>
  <si>
    <t>VENNA SOWJANYA</t>
  </si>
  <si>
    <t>YAANA JAIN</t>
  </si>
  <si>
    <t>YOGITA JAIN</t>
  </si>
  <si>
    <t>ADDANKI SATYA SANDEEP</t>
  </si>
  <si>
    <t>APPARI SATYADEVA UMACHANDRA HASINI</t>
  </si>
  <si>
    <t>AVVA SURYA PRABHATH</t>
  </si>
  <si>
    <t>SATYAMSETTI BALA SUDHEER</t>
  </si>
  <si>
    <t>BOLISETTI KIRAN RAM</t>
  </si>
  <si>
    <t>BORUSU GOWTHAM SHANMUKA SAI</t>
  </si>
  <si>
    <t>BURRA VENKATA DURGA LAKSHMI</t>
  </si>
  <si>
    <t xml:space="preserve">CHEKKA LIKITHA </t>
  </si>
  <si>
    <t>DEVUPALLI  NIVEDITHA SAI SREE</t>
  </si>
  <si>
    <t>DUNGA PADMAVALLI</t>
  </si>
  <si>
    <t xml:space="preserve">GOLLAPALLI HEMANTH KUMAR </t>
  </si>
  <si>
    <t xml:space="preserve">JAKKA CHARISHMA DEEPIKA </t>
  </si>
  <si>
    <t>JAYMANGALA TEJA</t>
  </si>
  <si>
    <t xml:space="preserve">KAKADA  BABI </t>
  </si>
  <si>
    <t>KONKI ARAVIND SWAMY</t>
  </si>
  <si>
    <t>KOPPISETTI BHAVYA SRI</t>
  </si>
  <si>
    <t>KOTA RAMYA</t>
  </si>
  <si>
    <t xml:space="preserve">LIKHITH KOMMALA </t>
  </si>
  <si>
    <t xml:space="preserve">MANDAVILLI V N S S SRI DURGA ALEKHYA </t>
  </si>
  <si>
    <t>MUMMIDI MOHAN  NAGA SYAM SUNDAR</t>
  </si>
  <si>
    <t>OLETI RAMBABU</t>
  </si>
  <si>
    <t>PARVATHA DIVYA</t>
  </si>
  <si>
    <t>PECHETTI NAGA SREE SAI SHANMUKHA VASANTH</t>
  </si>
  <si>
    <t>PENTA GOPIKA DEVI</t>
  </si>
  <si>
    <t xml:space="preserve">PEPAKAYALA VEERA VENKATA SATYANARYANA </t>
  </si>
  <si>
    <t>GOPISETTI SURESH</t>
  </si>
  <si>
    <t>VASKURI VENKATA GANA PANDU RANGA SAI</t>
  </si>
  <si>
    <t xml:space="preserve">YARRAMNEEDI JAYA RAMAKRISHNA </t>
  </si>
  <si>
    <t xml:space="preserve">ANKEM NAGA MANIKANTA </t>
  </si>
  <si>
    <t xml:space="preserve">BATTINA DEEKSITHA LAKSHMI </t>
  </si>
  <si>
    <t>CHEBROLU SRI NARENDRA SAINADH</t>
  </si>
  <si>
    <t xml:space="preserve">CHELLUNOINA MANIKANTA SWAMI </t>
  </si>
  <si>
    <t>CHIKKAM SURYA RATNA SRI</t>
  </si>
  <si>
    <t>DEVARAKONDA KARTHEEK</t>
  </si>
  <si>
    <t>GAMPALA CHAITANAYA</t>
  </si>
  <si>
    <t>GOKAVARAPU LAKSHMI NARAYANA KISHORE</t>
  </si>
  <si>
    <t>GOLLAPALLI ESWAR SURYA SAI ARJUN LAKSHMAN</t>
  </si>
  <si>
    <t>GOLLU TARUN</t>
  </si>
  <si>
    <t xml:space="preserve">GUTTULA PRABHU CHARAN TEJA </t>
  </si>
  <si>
    <t>KARRI KARTHIK GOVIND</t>
  </si>
  <si>
    <t>KODELA MOHAN RAJU VENKATA DURGA  BABU</t>
  </si>
  <si>
    <t>KOMALI JASWANTH</t>
  </si>
  <si>
    <t>M SAI HARSHAVARDHAN</t>
  </si>
  <si>
    <t xml:space="preserve">MADINA GANESH CHARAN </t>
  </si>
  <si>
    <t xml:space="preserve">MALLADI CHARAN TEJA </t>
  </si>
  <si>
    <t xml:space="preserve">MALLADI DHARMA TEJA </t>
  </si>
  <si>
    <t>MALLADI SREEKESH</t>
  </si>
  <si>
    <t xml:space="preserve">MOLETI CHARAN TEJA </t>
  </si>
  <si>
    <t xml:space="preserve">MORTHA JOEL ELISHA </t>
  </si>
  <si>
    <t xml:space="preserve">NEELAM J D V V R  SAI LAKSHMI </t>
  </si>
  <si>
    <t>NEELAPALA VEERA MAHESH</t>
  </si>
  <si>
    <t>PAILA BHASKAAR POSI DURGA SAI</t>
  </si>
  <si>
    <t>PEMME NAGADURGA PRASAD</t>
  </si>
  <si>
    <t>PEPAKAYALA SOMALINGESWARA SIVA  KUMAR</t>
  </si>
  <si>
    <t>POTHARAJU SAI SRI HASITHA</t>
  </si>
  <si>
    <t>REDDIPALLI SAI SIVA JYOTHI</t>
  </si>
  <si>
    <t>REDDY SRI LAKSHMI PRASANNA</t>
  </si>
  <si>
    <t>SHAIK  MUHAMMAD MUSTAFA</t>
  </si>
  <si>
    <t>TEKUMUDI ESWARA PRASAD</t>
  </si>
  <si>
    <t>YALAMANCHILI SNEHA LATHA LAKSHMI</t>
  </si>
  <si>
    <t xml:space="preserve">YASALAPU LAXMI NARAYANA </t>
  </si>
  <si>
    <t>ANUMANCHIPALLI SRINIVAS</t>
  </si>
  <si>
    <t>APPIKONDA JYOTHISH KUMAR</t>
  </si>
  <si>
    <t>BANDARU KOUSALYA RAM</t>
  </si>
  <si>
    <t>BINIPE MAMATHA</t>
  </si>
  <si>
    <t xml:space="preserve">CHODIPILLI DEEVENA </t>
  </si>
  <si>
    <t>DESETTI SIVA RAMA KRISHNA</t>
  </si>
  <si>
    <t xml:space="preserve">DUNNALA GOWRI NAGADEVI LAKSHMI PRATHYUSHA </t>
  </si>
  <si>
    <t>GANGUMALLA YEDUKONDALU</t>
  </si>
  <si>
    <t>GOPINAMBALA  VISHNU VARDHAN</t>
  </si>
  <si>
    <t xml:space="preserve">IMMANDI TANUSRI </t>
  </si>
  <si>
    <t xml:space="preserve">JARUGULLA MADAN KUMAR </t>
  </si>
  <si>
    <t>KARRI NAGA SATYASRI</t>
  </si>
  <si>
    <t>LACHIREDDY SYAM</t>
  </si>
  <si>
    <t>MALLUVALASA  TEJASWI</t>
  </si>
  <si>
    <t>PINAPOTHU LAKSHMINADH</t>
  </si>
  <si>
    <t xml:space="preserve">PITTA TEJA </t>
  </si>
  <si>
    <t>PUDI PREM BHARATI HARIKA</t>
  </si>
  <si>
    <t xml:space="preserve">RAYAVARAPU SRINIVASA ADITYA </t>
  </si>
  <si>
    <t>SANIVARAPU MALLIKA</t>
  </si>
  <si>
    <t>SATRAPU LOKESH</t>
  </si>
  <si>
    <t>SINGAMPALLI NAVEEN KUMAR</t>
  </si>
  <si>
    <t>TEEDA BHASKAR SUBRAMANYAM RAJ</t>
  </si>
  <si>
    <t>VEERRAVILLI SURYA CHARAN</t>
  </si>
  <si>
    <t>AMBATI NAGESH</t>
  </si>
  <si>
    <t>ANUSURI SAI RAJESH</t>
  </si>
  <si>
    <t>CHILUVURI  SURYA SAHASRA</t>
  </si>
  <si>
    <t xml:space="preserve">CHINTAPALLI SREEDIVYA </t>
  </si>
  <si>
    <t>DIMMITI DURGASAIBABU</t>
  </si>
  <si>
    <t>DWARAPUDI SWETHA SRI</t>
  </si>
  <si>
    <t>KAKI DEVI AMRUTHA HASINI</t>
  </si>
  <si>
    <t>KARINGU SRI VIDYA BHARATHI</t>
  </si>
  <si>
    <t>KASINA SATYA SURYA VISWANADH</t>
  </si>
  <si>
    <t>KEDARISETTI LALITHAMBIKA</t>
  </si>
  <si>
    <t>MADDURI NAGA DURGA SATYA VAISHNAVI DEVI</t>
  </si>
  <si>
    <t>MAKE LAKSHMI  ASWITHA KIRAN</t>
  </si>
  <si>
    <t>MARINA RAMYA DURGA PRIYANKA</t>
  </si>
  <si>
    <t>MARRI JASWANTH</t>
  </si>
  <si>
    <t>MUDDANGULA JAYA  KISHORE</t>
  </si>
  <si>
    <t xml:space="preserve">NANDIKOLLA KARUN TEJA </t>
  </si>
  <si>
    <t>PALLELA KANAKA LAKSHMI RASAGNA</t>
  </si>
  <si>
    <t>PUTTA AMRUTHA CHOWDARY</t>
  </si>
  <si>
    <t>RAJANA LAKSHMI  DURGA VENKATA GANGADHAR</t>
  </si>
  <si>
    <t>REDDI PRASAD</t>
  </si>
  <si>
    <t>S.JAITESH</t>
  </si>
  <si>
    <t>SARIPALLI  VINOD</t>
  </si>
  <si>
    <t>SINGAMSETTY SAI VENKATA INDRANI</t>
  </si>
  <si>
    <t>TARINI BANDE</t>
  </si>
  <si>
    <t>TONDAPU KUMAR SAI VENKATA SUMANTH REDDY</t>
  </si>
  <si>
    <t xml:space="preserve">U HEMAN KUMAR </t>
  </si>
  <si>
    <t>VARANASI N S V S K GOPIKA PURNIMA</t>
  </si>
  <si>
    <t>VISARAPU VINAY RAGAVENDRA</t>
  </si>
  <si>
    <t xml:space="preserve">YALAMILLI DIVYA </t>
  </si>
  <si>
    <t xml:space="preserve">ADABALA YAGNA VEERA SATYA SREE </t>
  </si>
  <si>
    <t>BARLA RAJESWARI</t>
  </si>
  <si>
    <t xml:space="preserve">BODA VEERA VENKATA KAMARAJU VINAY </t>
  </si>
  <si>
    <t xml:space="preserve">BOMMIDI VEERA BABU </t>
  </si>
  <si>
    <t xml:space="preserve">DANGETI VENKATA DURGA PRASANTH </t>
  </si>
  <si>
    <t xml:space="preserve">GADI JAYASRI MUNESH </t>
  </si>
  <si>
    <t xml:space="preserve">GADIDESI JYOTHI </t>
  </si>
  <si>
    <t xml:space="preserve">GEESALA ANUSHA </t>
  </si>
  <si>
    <t xml:space="preserve">GINJALA SARANYA </t>
  </si>
  <si>
    <t xml:space="preserve">GULLAPALLI BHANUSRI </t>
  </si>
  <si>
    <t xml:space="preserve">GUNDU GEETHA SRI </t>
  </si>
  <si>
    <t xml:space="preserve">KADA DURGA PRASAD </t>
  </si>
  <si>
    <t xml:space="preserve">KAMBALA HEMALATHA </t>
  </si>
  <si>
    <t>KARNIDI V S G PARVATHI MAHALAKSHMI</t>
  </si>
  <si>
    <t xml:space="preserve">KARRI SHYAMSON </t>
  </si>
  <si>
    <t xml:space="preserve">KOMMIREDDI NANDINI </t>
  </si>
  <si>
    <t xml:space="preserve">KONCHA TANUJA </t>
  </si>
  <si>
    <t xml:space="preserve">KORUPROLU VAMSI KRISHNA </t>
  </si>
  <si>
    <t>MAGAPU VENKATA SURYA SRIRAMAMURTHY</t>
  </si>
  <si>
    <t xml:space="preserve">MANDAPATI KARUNA KUMARI </t>
  </si>
  <si>
    <t xml:space="preserve">MULIKI LAVANYA </t>
  </si>
  <si>
    <t xml:space="preserve">MULIKI RAMYA </t>
  </si>
  <si>
    <t xml:space="preserve">NAMA MANIKANTA </t>
  </si>
  <si>
    <t xml:space="preserve">NATLA BHARATH VINAY </t>
  </si>
  <si>
    <t>NEELAPALLI YEPRAYIM</t>
  </si>
  <si>
    <t>NERELLA DURGA SWAROOP</t>
  </si>
  <si>
    <t xml:space="preserve">NUNNA VENKATA MANIKANTA SAI </t>
  </si>
  <si>
    <t xml:space="preserve">PALEPU DURGA PRASAD </t>
  </si>
  <si>
    <t xml:space="preserve">PENAGANTI SREE HARITHA LAKSHMI PRIYA </t>
  </si>
  <si>
    <t xml:space="preserve">PYLA SRI SAI NAVEEN KUMAR </t>
  </si>
  <si>
    <t xml:space="preserve">RAYUDU JAI BHAVANI </t>
  </si>
  <si>
    <t xml:space="preserve">SAVARAPU ANUSHA </t>
  </si>
  <si>
    <t xml:space="preserve">SETTI ANU KUMAR </t>
  </si>
  <si>
    <t xml:space="preserve">SINGAM MANASA </t>
  </si>
  <si>
    <t xml:space="preserve">SURAMPUDI MAHALAKSHMI </t>
  </si>
  <si>
    <t xml:space="preserve">VALTHI MAHENDRA </t>
  </si>
  <si>
    <t xml:space="preserve">VANTHALA JASHNAVI </t>
  </si>
  <si>
    <t xml:space="preserve">VASAMSETTI SATYA SURYA MANIKANTA </t>
  </si>
  <si>
    <t xml:space="preserve">VEDURESWARAPU SRIKAVYA </t>
  </si>
  <si>
    <t xml:space="preserve">VENUM DEVIKA SRI </t>
  </si>
  <si>
    <t xml:space="preserve">VONGALA KOUSHIK </t>
  </si>
  <si>
    <t xml:space="preserve">YENDURI ROSHIT VEERA VENKATA SRI SAI </t>
  </si>
  <si>
    <t>BUSINESS ORGANIZATION AND MANAGEMENT</t>
  </si>
  <si>
    <t>FUNDAMENTALS OF INFORMATION TECHNOLOGY &amp; OFFICE AUTOMATION</t>
  </si>
  <si>
    <t>FUNDAMENTALS OF INFORMATION TECHNOLOGY &amp; OFFICE AUTOMATION  LAB</t>
  </si>
  <si>
    <t xml:space="preserve">ACHANTA VENKAT </t>
  </si>
  <si>
    <t xml:space="preserve">BAKI RAMAKRISHNA </t>
  </si>
  <si>
    <t xml:space="preserve">DANDRU PAVAN VENKATA GUPTHA </t>
  </si>
  <si>
    <t xml:space="preserve">DASARI DURGAPRASAD </t>
  </si>
  <si>
    <t xml:space="preserve">DEVISETTI V V S S SAI KUMAR </t>
  </si>
  <si>
    <t xml:space="preserve">DONKA BHARGAV RAGHAVENDRA </t>
  </si>
  <si>
    <t xml:space="preserve">GOLITHI SOMA SANTOSH </t>
  </si>
  <si>
    <t>JAHNAVI NAGIDI</t>
  </si>
  <si>
    <t xml:space="preserve">KANUBOINA PRANEETH SIDDHARDHA </t>
  </si>
  <si>
    <t xml:space="preserve">KOMMANAPALLI MOUNIKA MAHALAKSHMI </t>
  </si>
  <si>
    <t xml:space="preserve">KONALA VENKATA SURENDRA </t>
  </si>
  <si>
    <t xml:space="preserve">MAASA JASWANT DEEP </t>
  </si>
  <si>
    <t xml:space="preserve">NAKKA PRAVEEN </t>
  </si>
  <si>
    <t xml:space="preserve">NAVA NOOKA RAJU </t>
  </si>
  <si>
    <t xml:space="preserve">NEELAM JAYANTH </t>
  </si>
  <si>
    <t xml:space="preserve">NEELAPALLI KIRAN KUMAR </t>
  </si>
  <si>
    <t xml:space="preserve">NEELAPILLI JOSHI </t>
  </si>
  <si>
    <t xml:space="preserve">PABBINEEDI DHANA SEKHAR </t>
  </si>
  <si>
    <t xml:space="preserve">PATAKUNTI VIVEKANANDA REDDY </t>
  </si>
  <si>
    <t xml:space="preserve">PEMMADI ADINARAYANA </t>
  </si>
  <si>
    <t xml:space="preserve">SHAIK AHAMMAD ALI </t>
  </si>
  <si>
    <t xml:space="preserve">SHEIK ALTHAF </t>
  </si>
  <si>
    <t xml:space="preserve">SIDDANTHAPU MAMATHA </t>
  </si>
  <si>
    <t xml:space="preserve">TALAGADADEEVI HEMANTH </t>
  </si>
  <si>
    <t xml:space="preserve">TEDLAPU BALA GANGADHARA UMA SIVA SANKAR </t>
  </si>
  <si>
    <t xml:space="preserve">VANACHARLA MADHURI </t>
  </si>
  <si>
    <t>YAVARNA PARDHU</t>
  </si>
  <si>
    <t>ACCOUNTANT ASSISTANT</t>
  </si>
  <si>
    <t>BUSINESS AND APPLIED LAWS</t>
  </si>
  <si>
    <t>BUSINESS ECONOMICS</t>
  </si>
  <si>
    <t>BANKING THEORY AND PRACTICE</t>
  </si>
  <si>
    <t xml:space="preserve">BODDU MANOJ KUMAR </t>
  </si>
  <si>
    <t xml:space="preserve">CHINTAPALLI SAI SHANKAR </t>
  </si>
  <si>
    <t xml:space="preserve">DADALA JAYASRI SUPRIYA </t>
  </si>
  <si>
    <t xml:space="preserve">DUVVADA SANJANA </t>
  </si>
  <si>
    <t xml:space="preserve">GANDI DURGA DHANUSH </t>
  </si>
  <si>
    <t xml:space="preserve">GULLINKALA BALA SUBRAHMANYAM SWAMY </t>
  </si>
  <si>
    <t xml:space="preserve">KOKKERAMETLA VENKATESH </t>
  </si>
  <si>
    <t xml:space="preserve">KOTTAGALLA NAVYA SREE KANTHI </t>
  </si>
  <si>
    <t xml:space="preserve">KOVVURI SRI KRISHNA CHAITANYA REDDY </t>
  </si>
  <si>
    <t xml:space="preserve">MADUGULA JASHNAVI </t>
  </si>
  <si>
    <t xml:space="preserve">MANDAPATI RAVITEJA </t>
  </si>
  <si>
    <t>MUTHU ANUSHA</t>
  </si>
  <si>
    <t xml:space="preserve">NAKKA GANGA NAGA UMA MAHESWARA RAO </t>
  </si>
  <si>
    <t xml:space="preserve">NAKKA SHANMUKA VEERA RAGHU VAMSI </t>
  </si>
  <si>
    <t xml:space="preserve">NEELAM LALITHA </t>
  </si>
  <si>
    <t xml:space="preserve">PENUMALLU RAMA NIHARIKA </t>
  </si>
  <si>
    <t xml:space="preserve">PYNA MAHALAKSHMI </t>
  </si>
  <si>
    <t xml:space="preserve">RAYUDU PAVAN KUMAR </t>
  </si>
  <si>
    <t xml:space="preserve">RAYUDU RAMYASRI </t>
  </si>
  <si>
    <t xml:space="preserve">REVURI NAGA SURYA MANOHAR </t>
  </si>
  <si>
    <t xml:space="preserve">SALAPU SIDDHI VENKATA SAI KARTHIKEYA </t>
  </si>
  <si>
    <t xml:space="preserve">SATHI MEGHANA REDDY </t>
  </si>
  <si>
    <t>SATHI SRI SHANMUKHA SAI SRINIVASA REDDY</t>
  </si>
  <si>
    <t xml:space="preserve">SHAIK ABDUL HANEESH </t>
  </si>
  <si>
    <t xml:space="preserve">SINGANA KARUNA VEERA VENKATESH </t>
  </si>
  <si>
    <t>YARRAMNEEDI NAVYA</t>
  </si>
  <si>
    <t>AMALADASU HIMA PRAKASHINI</t>
  </si>
  <si>
    <t xml:space="preserve">ANISETTI VENKATA SWATHI </t>
  </si>
  <si>
    <t xml:space="preserve">ARJUNAMAHANTHI DURGA SWAMY </t>
  </si>
  <si>
    <t xml:space="preserve">CHAKKA NIKHITANJANA </t>
  </si>
  <si>
    <t xml:space="preserve">DEYYALA RAJESH </t>
  </si>
  <si>
    <t xml:space="preserve">DWARAMPUDI VIDYA SATWIKA </t>
  </si>
  <si>
    <t xml:space="preserve">GANDI GANGANANDINI </t>
  </si>
  <si>
    <t xml:space="preserve">GORLE NAGA TANU SREE </t>
  </si>
  <si>
    <t xml:space="preserve">GORLU DEEPIKA </t>
  </si>
  <si>
    <t xml:space="preserve">JERRI SANTHOSH </t>
  </si>
  <si>
    <t xml:space="preserve">KADALI SATYA SRI CHARAN </t>
  </si>
  <si>
    <t xml:space="preserve">KAJULURI RAMYA PRIYA </t>
  </si>
  <si>
    <t xml:space="preserve">KOLLA REDDY HARIKA </t>
  </si>
  <si>
    <t xml:space="preserve">KOTI SRI LALITHA </t>
  </si>
  <si>
    <t xml:space="preserve">MADHABATTULA KEERTHI PRASANNA </t>
  </si>
  <si>
    <t xml:space="preserve">MUPPIDI MAHESWARA REDDY </t>
  </si>
  <si>
    <t xml:space="preserve">PALEPU NIKITHA </t>
  </si>
  <si>
    <t xml:space="preserve">PASUPULETI BABY SRAVANYA </t>
  </si>
  <si>
    <t>PUJYAM NAGA SRI DRUTHI</t>
  </si>
  <si>
    <t>RAMISETTY JASMINI</t>
  </si>
  <si>
    <t xml:space="preserve">SANIVARAPU RAMA ESWARA PRASAD </t>
  </si>
  <si>
    <t xml:space="preserve">SHAIK AHMED RAZA </t>
  </si>
  <si>
    <t xml:space="preserve">SHAIK FARHANA </t>
  </si>
  <si>
    <t xml:space="preserve">SREEPADAM MANJU PRINCY </t>
  </si>
  <si>
    <t xml:space="preserve">SWARNA SAILAKSHMI </t>
  </si>
  <si>
    <t xml:space="preserve">TUMMALAPALLI JASWANTH </t>
  </si>
  <si>
    <t xml:space="preserve">VASMSETTI VENKATA PRASAD </t>
  </si>
  <si>
    <t xml:space="preserve">VISSAKOTI BALU </t>
  </si>
  <si>
    <t>COMPUTER FUNDAMENTALS AND OFFICE AUTOMATION</t>
  </si>
  <si>
    <t>PROBLEM SOLVING USING C</t>
  </si>
  <si>
    <t>COMPUTER FUNDAMENTALS AND OFFICE AUTOMATION  LAB</t>
  </si>
  <si>
    <t>PROBLEM SOLVING USING C LAB</t>
  </si>
  <si>
    <t>ABBIREDDI SUSMITHA REDDY</t>
  </si>
  <si>
    <t>ADARI VIVEK HARISH</t>
  </si>
  <si>
    <t>ALLU BHAVANA</t>
  </si>
  <si>
    <t>AMBATI VEERA VENKATA SASI YASODHAR</t>
  </si>
  <si>
    <t>ANASURI HEMANTH SAI</t>
  </si>
  <si>
    <t>APPANNAPALLI THARUNESH</t>
  </si>
  <si>
    <t>APPIKONDA RAVI</t>
  </si>
  <si>
    <t>ARDANI RAJU</t>
  </si>
  <si>
    <t>BANDI RISHITHA SRI</t>
  </si>
  <si>
    <t>BASINA RATNA KUMAR</t>
  </si>
  <si>
    <t>BATTHINA SANTHOSH KUMAR</t>
  </si>
  <si>
    <t>BEERA ABHISHEK</t>
  </si>
  <si>
    <t>BELLAPUKONDA VAISHNAVI DURGANBHIKA</t>
  </si>
  <si>
    <t>BOGIREDDY CHANDANA VENKATA SAI</t>
  </si>
  <si>
    <t>BOLLAM KANCHANA</t>
  </si>
  <si>
    <t>BUDALA ANISHA</t>
  </si>
  <si>
    <t>CHEKKA SRINIVAS</t>
  </si>
  <si>
    <t>CHEVALA SUMANTH TEJA</t>
  </si>
  <si>
    <t>CHIDAGALA VEERA KRISHNA MANIKANTA</t>
  </si>
  <si>
    <t>CHILAPAREDDY JAYA SAI HANSIKA</t>
  </si>
  <si>
    <t>CHINTA DILEEP</t>
  </si>
  <si>
    <t xml:space="preserve">CHINTAPALLI TULASI NAGA LAKSHMI </t>
  </si>
  <si>
    <t>CHITTALA VEERA LAKSHMI JAHNAVI</t>
  </si>
  <si>
    <t>CHOLLANGI VEERA CHANDRIKA</t>
  </si>
  <si>
    <t>DEYYALA MANI KANTA</t>
  </si>
  <si>
    <t>EERLI DAVID RAJU</t>
  </si>
  <si>
    <t>GANASULA VEERABABU</t>
  </si>
  <si>
    <t>GIDUTURI NAGA SAI VENKATA DURGA MANINATH</t>
  </si>
  <si>
    <t>GIDUTURI TEJASRI</t>
  </si>
  <si>
    <t>INDANA JYOTHI KUMARI</t>
  </si>
  <si>
    <t>JUJJURU CHANDINI</t>
  </si>
  <si>
    <t>JYESTA SUSHMA CHOWDARY</t>
  </si>
  <si>
    <t>KAKI MOHAN SAI AVINASH</t>
  </si>
  <si>
    <t>KALIDINDI BHUVANA SAI KRISHNAVENI</t>
  </si>
  <si>
    <t>KANAKALA DEVI PRASANNA</t>
  </si>
  <si>
    <t>KANAKALA SAILAJA</t>
  </si>
  <si>
    <t>KANDULA ROHINI</t>
  </si>
  <si>
    <t>KANTAPUREDDY HARINI SHIVA</t>
  </si>
  <si>
    <t>KARRI REVATHI VEDA SRI</t>
  </si>
  <si>
    <t>KASI SATYA SRI</t>
  </si>
  <si>
    <t>KASIMDEVULA NARENDRA</t>
  </si>
  <si>
    <t>KATTA LOKESH</t>
  </si>
  <si>
    <t>KETHA VAMSI</t>
  </si>
  <si>
    <t>KOLA JAYASRI</t>
  </si>
  <si>
    <t>KOSURI ISWARYA</t>
  </si>
  <si>
    <t xml:space="preserve">KOTANI RAJASRI </t>
  </si>
  <si>
    <t>KOTHALA BHAVYA</t>
  </si>
  <si>
    <t>KUNOORI YASWANTH</t>
  </si>
  <si>
    <t xml:space="preserve">LANKE PAVANI SATYA </t>
  </si>
  <si>
    <t>MALIPIREDDY ROHITH VEERA SANJAY</t>
  </si>
  <si>
    <t>MEDAPATI VENNELA</t>
  </si>
  <si>
    <t>MEDAPUREDDY VYSHNAVI</t>
  </si>
  <si>
    <t>MEDIBOYINA BALA GANESH</t>
  </si>
  <si>
    <t>MEESALA VIDYA</t>
  </si>
  <si>
    <t>MOHAMMED AHAMED SHARIEF</t>
  </si>
  <si>
    <t>MUMMIDI CHANDRIKA</t>
  </si>
  <si>
    <t>MURALASETTY NIKHITHA LAKSHMI</t>
  </si>
  <si>
    <t>NARAHARISETTI SATISH</t>
  </si>
  <si>
    <t>NARALA DINESH SURYA DURGA ADITYA</t>
  </si>
  <si>
    <t>NARALASETTI LAKSHMIDEVI</t>
  </si>
  <si>
    <t>NARALASETTI RAMADEVI</t>
  </si>
  <si>
    <t>NEELAPALLI KALYAN RAJ</t>
  </si>
  <si>
    <t>NEMALA SANTOSH</t>
  </si>
  <si>
    <t>NIMMAKAYALA NEELAKANTA</t>
  </si>
  <si>
    <t>NUKALA CHARANI SREE</t>
  </si>
  <si>
    <t>ODIBOINA VEERA NOOKA RAJU</t>
  </si>
  <si>
    <t>OSIPALLI MANIKANTA</t>
  </si>
  <si>
    <t>PADALA LAKSHMI VEERA VENKATA DURGA</t>
  </si>
  <si>
    <t>PAIDIMALLA DHANUSH BABU</t>
  </si>
  <si>
    <t>PALEPU SANTHOSH KUMAR</t>
  </si>
  <si>
    <t>PAMU SRI BHAGYA LAKSHMI</t>
  </si>
  <si>
    <t>PANDRANKI SWARUPA</t>
  </si>
  <si>
    <t>PAPPU NEEHARIKA</t>
  </si>
  <si>
    <t>PASINIBILLI GANESH</t>
  </si>
  <si>
    <t>PENUPOTHULA LOCHANA</t>
  </si>
  <si>
    <t>PILLI LALITHA MAHALAKSHMI</t>
  </si>
  <si>
    <t>PILLI MOHANA SIVA DURGA</t>
  </si>
  <si>
    <t xml:space="preserve">POLAVARAPU LOVA VAMSI </t>
  </si>
  <si>
    <t>POLAVARAPU SYAM PRASAD</t>
  </si>
  <si>
    <t>PULLA JAYA SRI TULASI</t>
  </si>
  <si>
    <t>PUNNAM JOSHNA SESHA SAI</t>
  </si>
  <si>
    <t>RAMANATHI CHINNI</t>
  </si>
  <si>
    <t>RAMU BHUVANESWARI</t>
  </si>
  <si>
    <t>RAO SREE AMRUTHA</t>
  </si>
  <si>
    <t>RAYUDU BHAVANI PRASAD</t>
  </si>
  <si>
    <t>SANGEETA SRI VEDHA VINDHYA VIKASINI</t>
  </si>
  <si>
    <t>SEERAM EEPSITA</t>
  </si>
  <si>
    <t>SEERAMREDDY DEEPAK SIDDU MAHESH</t>
  </si>
  <si>
    <t>SIMMA VAIBHAVI</t>
  </si>
  <si>
    <t>SINGAMSETTI SRI JAYA RATNA VYSHNAVI</t>
  </si>
  <si>
    <t>SONTANAM NAGA ISHWARYA</t>
  </si>
  <si>
    <t>SUNKARA BHAVYA SRI</t>
  </si>
  <si>
    <t>SUNKARA SUKEERTHI</t>
  </si>
  <si>
    <t>TATIPARTHI SWAROOPA</t>
  </si>
  <si>
    <t>THOTA SAIBABU</t>
  </si>
  <si>
    <t>TIRUMALASETTI RAJA SRI</t>
  </si>
  <si>
    <t>TIRUMALASETTI VINAY</t>
  </si>
  <si>
    <t>VADAKATTU SANJANA</t>
  </si>
  <si>
    <t>VAKAPALLI SARANYA</t>
  </si>
  <si>
    <t>VANUM JASWANTH SATYA</t>
  </si>
  <si>
    <t>VASIREDDY VEERA PRAVEENA</t>
  </si>
  <si>
    <t>VASIREDDY YAMINI SURYA TRIVENI</t>
  </si>
  <si>
    <t>VIPPARTHI AVINASH</t>
  </si>
  <si>
    <t>YALLA SANANDH</t>
  </si>
  <si>
    <t>YARAKAM ABHI SATVIK REDDY</t>
  </si>
  <si>
    <t>YARRABATTULA SARANYA LAKSHMI SRI</t>
  </si>
  <si>
    <t>YARRAM RAJA RAVINDRA</t>
  </si>
  <si>
    <t>YELUBANDI SRI KALYANI</t>
  </si>
  <si>
    <t>ABBIREDDY CHAITRA VARSHITHA</t>
  </si>
  <si>
    <t>ALLAM HEMA SIDDU</t>
  </si>
  <si>
    <t>ANUSURI SHILPA</t>
  </si>
  <si>
    <t>ARDHANI KALYAN RAM</t>
  </si>
  <si>
    <t>ARUMILLI HARITHA VARDHANI</t>
  </si>
  <si>
    <t>BALLA KRUPA SHARON</t>
  </si>
  <si>
    <t>CHINTA SRI VENKATA DURGA HASINI</t>
  </si>
  <si>
    <t>DAMMU MANIHARSHA SAI</t>
  </si>
  <si>
    <t>DUVVA NAGA VENKATA RAMANA</t>
  </si>
  <si>
    <t>EPPILI VIMALA KUMARI</t>
  </si>
  <si>
    <t>GANTA HARSHAPRAMITHI</t>
  </si>
  <si>
    <t>GANTA JITYA</t>
  </si>
  <si>
    <t>GOLLA VINAY KUMAR</t>
  </si>
  <si>
    <t>GOLUSU AKASH</t>
  </si>
  <si>
    <t>GOPI NAGA MANOJ</t>
  </si>
  <si>
    <t>GUBBALA SURYA PRAKASH</t>
  </si>
  <si>
    <t>GUNDABATHULA HARI NAGA CHANDRIKA</t>
  </si>
  <si>
    <t>GUNUPUDI SRI SAI VENKATA DARSHIKA</t>
  </si>
  <si>
    <t>GURAJANA GEETHA LAHARI</t>
  </si>
  <si>
    <t>JAGATARAPU SAI RAM DURGA</t>
  </si>
  <si>
    <t>JALAGAM VINAY SURYA</t>
  </si>
  <si>
    <t>JAMPANA MEGHANA</t>
  </si>
  <si>
    <t>JYOTHULA LIKITHA</t>
  </si>
  <si>
    <t>KADA NAVYA VENKATA MANGA DEVI</t>
  </si>
  <si>
    <t>KADIPINA DURGA PRASAD</t>
  </si>
  <si>
    <t>KADULURI VENKATA DURGA SATYA NIVEDITA</t>
  </si>
  <si>
    <t>KALAKOTI JAGADEESH</t>
  </si>
  <si>
    <t>KAMINENI BANGARU KAVYA SREE</t>
  </si>
  <si>
    <t>KANDIPALLI PRAVEEN KUMAR</t>
  </si>
  <si>
    <t>KARRI MAHESWARI</t>
  </si>
  <si>
    <t>KASIREDDY KOWSALYA</t>
  </si>
  <si>
    <t>KASUMARTHI NAGA VIJAY JIVAN PRAKASH KUMAR</t>
  </si>
  <si>
    <t>KATHARI THANVI</t>
  </si>
  <si>
    <t>KATTA SRI VENKATA PAVAN KUMAR</t>
  </si>
  <si>
    <t>KESARAPU YESUBABU</t>
  </si>
  <si>
    <t xml:space="preserve">KESAVARAPU VENKATA RATNAM </t>
  </si>
  <si>
    <t>KOLA UJWALA TEJASWINI</t>
  </si>
  <si>
    <t>KOLANKA VEERA GANESH</t>
  </si>
  <si>
    <t>KONDEPUDI SWAMY VENKATESH</t>
  </si>
  <si>
    <t>KONKI JOSEPH</t>
  </si>
  <si>
    <t>KORIPALLI BHAVYA RATNA SRI</t>
  </si>
  <si>
    <t>KOTHALA YASWANTH</t>
  </si>
  <si>
    <t>KOTIPALLI ADITYA SWAROOP</t>
  </si>
  <si>
    <t>KOTIPALLI HARIKA SURYA RAMADEVI</t>
  </si>
  <si>
    <t>KOTIPALLI HARSHITHA LAKSHMI CHANDRA SREE</t>
  </si>
  <si>
    <t>KUMPATLA SRIRAM</t>
  </si>
  <si>
    <t>KUNCHE NAGA MANIKANTA RAJU</t>
  </si>
  <si>
    <t>KUNCHE VARSHITHA RINI</t>
  </si>
  <si>
    <t>KUPPAMALLA PRAVALLIKA</t>
  </si>
  <si>
    <t>KURUMELLA GEETHIKA</t>
  </si>
  <si>
    <t>LAGISHETTI SRAVANTHI</t>
  </si>
  <si>
    <t>LOKAREDDY SEETHA MAHA LAKSHMI</t>
  </si>
  <si>
    <t>MAINABATTULA JAI RAJU</t>
  </si>
  <si>
    <t>MALLADI SAI SIRISHA</t>
  </si>
  <si>
    <t>MAMIDIPALLI DURGA VENKATA SAI KIRAN</t>
  </si>
  <si>
    <t>MOHAMMED SUFIYAN KHAN</t>
  </si>
  <si>
    <t>MOKIREDDI DEVENDRA</t>
  </si>
  <si>
    <t>MORTHA JEMIMAH</t>
  </si>
  <si>
    <t>MOTURI PADMAJA</t>
  </si>
  <si>
    <t>MUTYALA GOWTHAM</t>
  </si>
  <si>
    <t>NADAKUDITI ANJANI HARSHITA</t>
  </si>
  <si>
    <t>NAKKA DVARAKA SRI LAKSHMI SAI SWARUPINI</t>
  </si>
  <si>
    <t>NAKKA SUVARNA SUSHMA</t>
  </si>
  <si>
    <t>NALLA SUSHMA SAMYUKTHA</t>
  </si>
  <si>
    <t>NEELAPALA SIRI MAHALAKSHMI</t>
  </si>
  <si>
    <t>NUKATATTU PREMANANDHAM</t>
  </si>
  <si>
    <t>OBILISETTY VINAY PRASANTH</t>
  </si>
  <si>
    <t>PALAKURTHI SAI NAGA SIRINYA</t>
  </si>
  <si>
    <t>PALEPU GOWTHAM SARAN</t>
  </si>
  <si>
    <t>PANCHADARA SATYA KESAVA</t>
  </si>
  <si>
    <t>PAPPALA SANTOSH KUMAR</t>
  </si>
  <si>
    <t>PAPPU SHALINI MADHU SRI</t>
  </si>
  <si>
    <t xml:space="preserve">PASALAPUDI NANDINI </t>
  </si>
  <si>
    <t>PECHETTI VARA PRASAD</t>
  </si>
  <si>
    <t>PENDYALA ADITYA</t>
  </si>
  <si>
    <t>PENKE SAI CHARAN</t>
  </si>
  <si>
    <t>PITHANI BALA VEERA RAGHAVENDRA</t>
  </si>
  <si>
    <t>RAYAPATI SIVAJI</t>
  </si>
  <si>
    <t>RAYAPUREDDY NAGASAI</t>
  </si>
  <si>
    <t>RAYUDU VEERA PRATAP</t>
  </si>
  <si>
    <t>REDDY VENKATESWARLU</t>
  </si>
  <si>
    <t>REKHA SRIHARSHITA</t>
  </si>
  <si>
    <t>ROTTA SAI ESWAR</t>
  </si>
  <si>
    <t>SAGIRAJU AISWARYA</t>
  </si>
  <si>
    <t>SANGADI SAI</t>
  </si>
  <si>
    <t>SATTI KRISHNA NAGA DURGA TANMAYI</t>
  </si>
  <si>
    <t>SEELA HARSHITHA</t>
  </si>
  <si>
    <t>SHAIK HAMAD LUKMAN</t>
  </si>
  <si>
    <t>SHEIK RUHI FATHIMA</t>
  </si>
  <si>
    <t>SHEIK SADHIK</t>
  </si>
  <si>
    <t>SHEK AFREEN</t>
  </si>
  <si>
    <t>SHESATTE PRAMEELA</t>
  </si>
  <si>
    <t>SIDDANTAPU MOUVYA SRI TEJA</t>
  </si>
  <si>
    <t>SILLA DEEPIKA</t>
  </si>
  <si>
    <t>TADI VARSHITHA</t>
  </si>
  <si>
    <t>THATIPARTHI VIJAY RAJESH</t>
  </si>
  <si>
    <t>TUMULA SIDHARTHA</t>
  </si>
  <si>
    <t>UPPU DURGA PRASAD</t>
  </si>
  <si>
    <t>VABBALAREDDI POOJITHA</t>
  </si>
  <si>
    <t>VADAPARTHI LOKESH BABU</t>
  </si>
  <si>
    <t>VASARLA SATYA SAI</t>
  </si>
  <si>
    <t>VEERAMREDDY NAGA SATYANARAYANA</t>
  </si>
  <si>
    <t>VELLA ARUN KUMAR</t>
  </si>
  <si>
    <t>VEMPATI CHAKRA DURGA MAHESH</t>
  </si>
  <si>
    <t>YANDAMURI VASUDEV</t>
  </si>
  <si>
    <t>YEDLA KUMARI</t>
  </si>
  <si>
    <t>YELISETTI LAKSHMI PRIYANKA</t>
  </si>
  <si>
    <t>DISSERTATION</t>
  </si>
  <si>
    <t>DIALLO JEAN PAUL</t>
  </si>
  <si>
    <t>NA</t>
  </si>
  <si>
    <t>PEACE MUKWENA</t>
  </si>
  <si>
    <t>BASIC DRAWING</t>
  </si>
  <si>
    <t>INTEGRATED MEDIA COMMUNICATION</t>
  </si>
  <si>
    <t>BASIC DRAWING LAB</t>
  </si>
  <si>
    <t>INTEGRATED MEDIA COMMUNICATION LAB</t>
  </si>
  <si>
    <t>ANDE RAJESH VEERA MOULI</t>
  </si>
  <si>
    <t>CHODIPILLI JAGADEESH KUMAR</t>
  </si>
  <si>
    <t>DANGETI SHANMUKHA SAI</t>
  </si>
  <si>
    <t>KESAVARAPU VENKAT TEJAS</t>
  </si>
  <si>
    <t>MANDARAPU HIMANTH KUMAR</t>
  </si>
  <si>
    <t>MUTYALA RAJA RAVI VARMA</t>
  </si>
  <si>
    <t>NIMMAKAYALA RAM TRISHUL</t>
  </si>
  <si>
    <t>PALEPU DHARMA TEJA</t>
  </si>
  <si>
    <t>PERABATHULA RAMA SESHAGIRI</t>
  </si>
  <si>
    <t>PUNYAMANTULA SRI MANIKANTA SATYANARAYANA</t>
  </si>
  <si>
    <t>BANDI RISHI KUMAR</t>
  </si>
  <si>
    <t>BHUPATHI DINESH KARTHIK SAI</t>
  </si>
  <si>
    <t>BODDETI PAVAN KUMAR</t>
  </si>
  <si>
    <t>GOLLAPALLI MEGHANA</t>
  </si>
  <si>
    <t>GUDE SAI</t>
  </si>
  <si>
    <t>JAMI SAI MANISH KUMAR</t>
  </si>
  <si>
    <t>KADULURI MOUNIKA</t>
  </si>
  <si>
    <t>KAMADA PAVANI</t>
  </si>
  <si>
    <t>KARRI ANIL KUMAR</t>
  </si>
  <si>
    <t>KARRI BHANU VINAY SAI CHARAN</t>
  </si>
  <si>
    <t>KOLLA SIVA SUBRAHMANYAM</t>
  </si>
  <si>
    <t>KOLLUBOINA VIJAY KUMAR</t>
  </si>
  <si>
    <t>KONA NAGA SAI CHARAN</t>
  </si>
  <si>
    <t>MARLA AKASH</t>
  </si>
  <si>
    <t>PALANGI SARA PRADEEPIKA</t>
  </si>
  <si>
    <t>POTHULA ELISE GOSPEL</t>
  </si>
  <si>
    <t>SURAMPUDI THARUN SAI SRINIVAS</t>
  </si>
  <si>
    <t>THULA JOY SAMUEL</t>
  </si>
  <si>
    <t>VALLURI NANI KRISHNA</t>
  </si>
  <si>
    <t xml:space="preserve">BUDITHI MANOJ KUMAR </t>
  </si>
  <si>
    <t xml:space="preserve">CHOWDUVADA SURYA VENKATA TEJA </t>
  </si>
  <si>
    <t xml:space="preserve">DEVISETTI VEERANJANEYULU </t>
  </si>
  <si>
    <t xml:space="preserve">GADIKOYYA AVINASH </t>
  </si>
  <si>
    <t xml:space="preserve">GUNTURU PHANI PRASAD RAJU </t>
  </si>
  <si>
    <t xml:space="preserve">KANAPALA SHALEM RAJU </t>
  </si>
  <si>
    <t xml:space="preserve">KANTE SIRISHA </t>
  </si>
  <si>
    <t>KELLI TULASINADH</t>
  </si>
  <si>
    <t xml:space="preserve">KONADA TEJA </t>
  </si>
  <si>
    <t xml:space="preserve">KUNDI GAYATRI </t>
  </si>
  <si>
    <t>LANKE KARTHIK</t>
  </si>
  <si>
    <t xml:space="preserve">MAGUPALLI TEJESWANI </t>
  </si>
  <si>
    <t xml:space="preserve">MALLAPUREDDY SATYADURGALAKSHMI SOWMYA </t>
  </si>
  <si>
    <t>MALLIDI RUKMINI SRILAKSHMI PRASANNA</t>
  </si>
  <si>
    <t xml:space="preserve">MASAKAPALLI PRAMEELA </t>
  </si>
  <si>
    <t xml:space="preserve">MERUGU SRUTHI </t>
  </si>
  <si>
    <t>MUGU SAI CHARAN</t>
  </si>
  <si>
    <t xml:space="preserve">MYLAPALLI KRISHNA </t>
  </si>
  <si>
    <t xml:space="preserve">NAKKA AMEER BABU </t>
  </si>
  <si>
    <t xml:space="preserve">NATI VEERABABU </t>
  </si>
  <si>
    <t>NAVYA SEELAM</t>
  </si>
  <si>
    <t xml:space="preserve">PALEPU MADHURA MEENAKSHI </t>
  </si>
  <si>
    <t xml:space="preserve">PATHURI NANI BABU </t>
  </si>
  <si>
    <t xml:space="preserve">PENKE LAKSHMAN BABU </t>
  </si>
  <si>
    <t xml:space="preserve">SADHU VENU </t>
  </si>
  <si>
    <t xml:space="preserve">SEELAM RATNA CHETAN </t>
  </si>
  <si>
    <t>SWARNA SANDHYA</t>
  </si>
  <si>
    <t xml:space="preserve">VATHADA NAVADEEP </t>
  </si>
  <si>
    <t xml:space="preserve">VATSAVAI N S V N SITA RAMA RAJU </t>
  </si>
  <si>
    <t xml:space="preserve">BALASADI KARTHIK </t>
  </si>
  <si>
    <t xml:space="preserve">BOGSU RAJU </t>
  </si>
  <si>
    <t>DARA HEMA SRIRAM</t>
  </si>
  <si>
    <t>K YASWANTH NARAYANA</t>
  </si>
  <si>
    <t xml:space="preserve">KONDEPUDI VIJAY KUMAR </t>
  </si>
  <si>
    <t xml:space="preserve">KOPPANATI SRINIVAS </t>
  </si>
  <si>
    <t xml:space="preserve">KOYYA MAITHRI </t>
  </si>
  <si>
    <t>KURRA TEJA PRAVEEN</t>
  </si>
  <si>
    <t xml:space="preserve">PALIKA YASHODA RAGHAVA KUMARI </t>
  </si>
  <si>
    <t xml:space="preserve">SANGADI PRASANNA </t>
  </si>
  <si>
    <t xml:space="preserve">SHEIK KARISHMA </t>
  </si>
  <si>
    <t xml:space="preserve">TIPPANAGIRI VENKATA VIDYA SRI </t>
  </si>
  <si>
    <t>FOUNDATIONS OF FISHERIES SCIENCE</t>
  </si>
  <si>
    <t>PRINCIPLES OF AQUACULTURE</t>
  </si>
  <si>
    <t>FOUNDATIONS OF FISHERIES SCIENCE LAB</t>
  </si>
  <si>
    <t>PRINCIPLES OF AQUACULTURE LAB</t>
  </si>
  <si>
    <t>INTRODUCTION TO MICROBIOLOGY AND MICROBIAL DIVERSITY</t>
  </si>
  <si>
    <t>PRINCIPLES OF BACTERIOLOGY AND MICROBIAL TECHNIQUES</t>
  </si>
  <si>
    <t>INTRODUCTION TO MICROBIOLOGY AND MICROBIAL DIVERSITY  LAB</t>
  </si>
  <si>
    <t>PRINCIPLES OF BACTERIOLOGY AND MICROBIAL TECHNIQUES LAB</t>
  </si>
  <si>
    <t xml:space="preserve">ANGADI DEVI MAMATHA </t>
  </si>
  <si>
    <t xml:space="preserve">ATTILI MOKSHA SRI MANOJNA </t>
  </si>
  <si>
    <t xml:space="preserve">AVVARI JAHNAVI </t>
  </si>
  <si>
    <t xml:space="preserve">BADIGANTI SYAM SAJIV </t>
  </si>
  <si>
    <t xml:space="preserve">CHINNAM LYDIA GRACE </t>
  </si>
  <si>
    <t xml:space="preserve">GADA VEERA PRABHA SRI JAHNAVI </t>
  </si>
  <si>
    <t xml:space="preserve">GATTI KEERTHANA </t>
  </si>
  <si>
    <t xml:space="preserve">KANDELLI SREELEKHA </t>
  </si>
  <si>
    <t xml:space="preserve">KAREDLA DEVI SRI NAGA MADHAVI </t>
  </si>
  <si>
    <t xml:space="preserve">KARRI PRANATHI </t>
  </si>
  <si>
    <t xml:space="preserve">KINTHALA SAILU </t>
  </si>
  <si>
    <t xml:space="preserve">KOLA DEVENDRA SURYA CHAITANYA </t>
  </si>
  <si>
    <t xml:space="preserve">KONJARLA VEERA DURGA </t>
  </si>
  <si>
    <t xml:space="preserve">KURAKULA RAJANI </t>
  </si>
  <si>
    <t xml:space="preserve">MAILAPILLI SUNEETHA </t>
  </si>
  <si>
    <t xml:space="preserve">MAKKA RAVIKISHORE </t>
  </si>
  <si>
    <t xml:space="preserve">MOYELLA HARINI </t>
  </si>
  <si>
    <t xml:space="preserve">NALLAM PUSHPAHASINI </t>
  </si>
  <si>
    <t xml:space="preserve">NEELAM SRI ARJUN </t>
  </si>
  <si>
    <t xml:space="preserve">PAGADAM SATYA DATTA DEVI VARSHITHA </t>
  </si>
  <si>
    <t xml:space="preserve">PANDURI HEPSIBA </t>
  </si>
  <si>
    <t xml:space="preserve">PUGAMALLA CHANDRIKA </t>
  </si>
  <si>
    <t xml:space="preserve">SARAKANAM DHARANI VENKATA ANUSHA </t>
  </si>
  <si>
    <t xml:space="preserve">SOMAVARAPU MAMATHA </t>
  </si>
  <si>
    <t xml:space="preserve">VANUM MALLIKHARJUN </t>
  </si>
  <si>
    <t xml:space="preserve">VARANASI VEERA SAI LAKSHMI LALITHA </t>
  </si>
  <si>
    <t xml:space="preserve">VEMULA VENKATA SUBHASH </t>
  </si>
  <si>
    <t xml:space="preserve">VINNAKOTI SRI VIDYA </t>
  </si>
  <si>
    <t xml:space="preserve">VIRIYALA SANTHI SWAROOPA </t>
  </si>
  <si>
    <t xml:space="preserve">YARLAGADDA SWAPNA </t>
  </si>
  <si>
    <t>BUNGA NIKHITHA</t>
  </si>
  <si>
    <t xml:space="preserve">GUBBALA LAKSHMI PALLAVI </t>
  </si>
  <si>
    <t xml:space="preserve">KATAKAM SAI SRIVATHSA </t>
  </si>
  <si>
    <t xml:space="preserve">LANKA SANJANA </t>
  </si>
  <si>
    <t xml:space="preserve">MADABALA SIVA GANESH </t>
  </si>
  <si>
    <t xml:space="preserve">MOHAMMAD HAYFAH MABROOKA </t>
  </si>
  <si>
    <t xml:space="preserve">MOHAMMAD MEHABOOB BASHA </t>
  </si>
  <si>
    <t xml:space="preserve">MOHAMMAD TAMHIDA </t>
  </si>
  <si>
    <t xml:space="preserve">MOHAMMED HEENA </t>
  </si>
  <si>
    <t xml:space="preserve">MOHAMMED JAIBUNNISA </t>
  </si>
  <si>
    <t xml:space="preserve">MUMMIDI SRIKAVYA </t>
  </si>
  <si>
    <t xml:space="preserve">NADELLA SUJITH </t>
  </si>
  <si>
    <t xml:space="preserve">PINDI VIJAYA KRANTHI </t>
  </si>
  <si>
    <t xml:space="preserve">RAGHUMANDALA VARSHITHA </t>
  </si>
  <si>
    <t xml:space="preserve">SAPPA NAGENDRA KUMAR </t>
  </si>
  <si>
    <t xml:space="preserve">SHAIK HUSHNARA </t>
  </si>
  <si>
    <t>VARADA INDIRA PRIYADARSINI</t>
  </si>
  <si>
    <t xml:space="preserve">VASANTHALA MANIKANTA SYAMKUMAR </t>
  </si>
  <si>
    <t>DEPHINE ELLEN RANGARIRA</t>
  </si>
  <si>
    <t>GENERAL CHEMISTRY</t>
  </si>
  <si>
    <t>INORGANIC CHEMISTRY</t>
  </si>
  <si>
    <t>GENERAL CHEMISTRY  LAB</t>
  </si>
  <si>
    <t>INORGANIC CHEMISTRY LAB</t>
  </si>
  <si>
    <t xml:space="preserve">BALIJEPALLI JOGI DURGA PAVAN </t>
  </si>
  <si>
    <t xml:space="preserve">BIRADAKOTA VENKATA RAMA LOKESH </t>
  </si>
  <si>
    <t xml:space="preserve">DAMALANKA SAIGANESH </t>
  </si>
  <si>
    <t xml:space="preserve">DHANIMISETTI KARTHIK </t>
  </si>
  <si>
    <t xml:space="preserve">GENJI JASWANTH SRITEJA </t>
  </si>
  <si>
    <t xml:space="preserve">JALLIGAMPALA SAI CHARAN DINESH </t>
  </si>
  <si>
    <t xml:space="preserve">JERRIPOTHULA VENKATA SAI VARDHAN </t>
  </si>
  <si>
    <t xml:space="preserve">KAKARA VIVEK </t>
  </si>
  <si>
    <t xml:space="preserve">KANCHUMENU SRI CHARAN </t>
  </si>
  <si>
    <t xml:space="preserve">KARRI MURALI KRISHNA </t>
  </si>
  <si>
    <t xml:space="preserve">MADDURI VIKASH VENKATA BHEEMESWARA RAO </t>
  </si>
  <si>
    <t xml:space="preserve">MADUGULA NARENDRA </t>
  </si>
  <si>
    <t xml:space="preserve">MAKINEEDI SYAM SATYA ANANTH </t>
  </si>
  <si>
    <t xml:space="preserve">NARLA BHASKAR NARAYANA </t>
  </si>
  <si>
    <t xml:space="preserve">PALI GOWTHAM SRINIVAS </t>
  </si>
  <si>
    <t xml:space="preserve">PALLA VENU GOPAL NAIDU </t>
  </si>
  <si>
    <t xml:space="preserve">PEDIREDLA NAGENDRA KUMAR </t>
  </si>
  <si>
    <t xml:space="preserve">POLASU MAHENDRA VARMA </t>
  </si>
  <si>
    <t xml:space="preserve">SANGADI GOWTHAM </t>
  </si>
  <si>
    <t xml:space="preserve">THITTI RAJU </t>
  </si>
  <si>
    <t xml:space="preserve">VELUGULA SATYA SAI </t>
  </si>
  <si>
    <t xml:space="preserve">YAAMANA KRANTHI THAMMARAO </t>
  </si>
  <si>
    <t xml:space="preserve">YANAMADALA SHANMUKHA SANTOSH </t>
  </si>
  <si>
    <t xml:space="preserve">ADDANKI DEEVEN KUMAR </t>
  </si>
  <si>
    <t xml:space="preserve">ANISETTI DURGA BHAVANI </t>
  </si>
  <si>
    <t xml:space="preserve">ANUKULI CHANDU </t>
  </si>
  <si>
    <t xml:space="preserve">BANDARU SATYA VENU VANKATA SIVA </t>
  </si>
  <si>
    <t xml:space="preserve">CHANDANALA RAJUPRAKASH </t>
  </si>
  <si>
    <t xml:space="preserve">CHESETTI ADI VENKATA SUDHEER </t>
  </si>
  <si>
    <t xml:space="preserve">ELUGUBANTLA KEERTHANA SUJITHA RAMANI </t>
  </si>
  <si>
    <t xml:space="preserve">GALLA VARA LAKSHMI </t>
  </si>
  <si>
    <t xml:space="preserve">GONTHIREDDY SURYA NARAYANA </t>
  </si>
  <si>
    <t xml:space="preserve">KALAGA SAI </t>
  </si>
  <si>
    <t xml:space="preserve">KARRI BHARGAVA D V BHEEMESWARA VARMA </t>
  </si>
  <si>
    <t xml:space="preserve">KILARI DURGA PAVAN KUMAR </t>
  </si>
  <si>
    <t xml:space="preserve">KONCHA AMRUTHA DEVI SRI </t>
  </si>
  <si>
    <t xml:space="preserve">MANDAVILLI ADITYA </t>
  </si>
  <si>
    <t xml:space="preserve">NASARI MANIKANTA </t>
  </si>
  <si>
    <t xml:space="preserve">PAILA VAMSI KRISHNA </t>
  </si>
  <si>
    <t xml:space="preserve">PATHALA DURGA NOOKARAJU </t>
  </si>
  <si>
    <t xml:space="preserve">PEMMANABOIDI SATYA MOUNIKA </t>
  </si>
  <si>
    <t xml:space="preserve">PERUMALLA RAJ KUMAR </t>
  </si>
  <si>
    <t xml:space="preserve">PILLA J V S S N AMBIKA </t>
  </si>
  <si>
    <t xml:space="preserve">RUTHALA NIKHIL </t>
  </si>
  <si>
    <t xml:space="preserve">SAMBANA JAGAN MOHAN </t>
  </si>
  <si>
    <t xml:space="preserve">SILAPARASETTI LEELA SANKARA MANIKANTA </t>
  </si>
  <si>
    <t xml:space="preserve">SIRIYALA HARSHA VARDHAN </t>
  </si>
  <si>
    <t xml:space="preserve">SOMISETTI VEERA MANIKANTA </t>
  </si>
  <si>
    <t xml:space="preserve">SRIPATHI ASHOK KUMAR </t>
  </si>
  <si>
    <t xml:space="preserve">SUNKARA CHAKRA SWAMY </t>
  </si>
  <si>
    <t xml:space="preserve">VADDIPARTHI ANAND </t>
  </si>
  <si>
    <t xml:space="preserve">AAKULA SRI VARDHAN </t>
  </si>
  <si>
    <t xml:space="preserve">ABBIREDDY NAGA SATWIKA </t>
  </si>
  <si>
    <t xml:space="preserve">ADABALA NIKHIL </t>
  </si>
  <si>
    <t xml:space="preserve">ADABALA SAI VIJAYA </t>
  </si>
  <si>
    <t>ADAPA BHUVANA SRI</t>
  </si>
  <si>
    <t xml:space="preserve">ADDALA BHASKARA NARASIMHA ABHISHEK </t>
  </si>
  <si>
    <t xml:space="preserve">ADIREDDY SAI GITHIKA SRAVYA </t>
  </si>
  <si>
    <t xml:space="preserve">ALLAMPALLI SWAROOPA </t>
  </si>
  <si>
    <t xml:space="preserve">APPIKONDA GOWTHAM </t>
  </si>
  <si>
    <t xml:space="preserve">ARJILLI KIRAN </t>
  </si>
  <si>
    <t xml:space="preserve">AYITHIREDDI VENKATALAXMI </t>
  </si>
  <si>
    <t xml:space="preserve">BACHHALA SUKEERTHANA </t>
  </si>
  <si>
    <t xml:space="preserve">BALAGUDI JNANENDRA BHAVANI PRASAD </t>
  </si>
  <si>
    <t xml:space="preserve">BANGARU SHAKEENA </t>
  </si>
  <si>
    <t xml:space="preserve">BANTUPALLI VARALAKSHMI </t>
  </si>
  <si>
    <t xml:space="preserve">BATHINA SATYA DURGA TULASI TEJA HARSHITHA </t>
  </si>
  <si>
    <t xml:space="preserve">BEERA BLESSY </t>
  </si>
  <si>
    <t xml:space="preserve">BEJAVADA RUDDI NAGA CHARAN TEJA </t>
  </si>
  <si>
    <t xml:space="preserve">BENUGU NIKHIL ESWARA RAO </t>
  </si>
  <si>
    <t xml:space="preserve">BILLAKURTHI NAGA JYOTHI PRAVALLIKA </t>
  </si>
  <si>
    <t xml:space="preserve">BONAM USHA MAHALAKSHMI MANI </t>
  </si>
  <si>
    <t xml:space="preserve">BUDDANA PADMA SRI DATTA CHANDRA NARAYANI </t>
  </si>
  <si>
    <t xml:space="preserve">CHALLA KEERTHANA </t>
  </si>
  <si>
    <t xml:space="preserve">CHALLA PRALAYA GANGA LAKSHMI </t>
  </si>
  <si>
    <t xml:space="preserve">CHALLA SATYA VENKATESH </t>
  </si>
  <si>
    <t xml:space="preserve">CHAMANTHI NAGENDRA </t>
  </si>
  <si>
    <t xml:space="preserve">CHANDALA PAVAN TRINADH </t>
  </si>
  <si>
    <t xml:space="preserve">CHEEKATLA VEERA BABU </t>
  </si>
  <si>
    <t xml:space="preserve">CHEKKA JNANESH </t>
  </si>
  <si>
    <t xml:space="preserve">CHEKKA SANJANA </t>
  </si>
  <si>
    <t xml:space="preserve">CHELLURI Y V V NAGA AMRUTHA </t>
  </si>
  <si>
    <t xml:space="preserve">CHIKKAM PAVAN MANIDEEP </t>
  </si>
  <si>
    <t xml:space="preserve">CHILUKOTI NAGENDRA KUMAR </t>
  </si>
  <si>
    <t xml:space="preserve">CHINIBILLI A S VEERA SATYA SRI PRAVALLIKA </t>
  </si>
  <si>
    <t xml:space="preserve">CHINTALAPUDI POORNA BHANU TEJA </t>
  </si>
  <si>
    <t xml:space="preserve">CHINTAPALLI VINAY </t>
  </si>
  <si>
    <t xml:space="preserve">CHOKKAAKULA VENKATA DURGA RAM CHARAN </t>
  </si>
  <si>
    <t xml:space="preserve">DANGETI DEEPTHI </t>
  </si>
  <si>
    <t xml:space="preserve">DARAPU ISHWARYA </t>
  </si>
  <si>
    <t xml:space="preserve">DASARI JAYARAJ </t>
  </si>
  <si>
    <t xml:space="preserve">DASARI RAJESH </t>
  </si>
  <si>
    <t xml:space="preserve">DATLA CHANDRAKALA </t>
  </si>
  <si>
    <t xml:space="preserve">DESINEEDI SIVA LAKSHMI </t>
  </si>
  <si>
    <t xml:space="preserve">DEVARA YUVA DURGA LOKESH </t>
  </si>
  <si>
    <t xml:space="preserve">DEVARAPU VENKATESH </t>
  </si>
  <si>
    <t xml:space="preserve">DODDIPATLA RAVI TEJA </t>
  </si>
  <si>
    <t>DUPPALAPUDI ESWARA VENKAT PAVAN</t>
  </si>
  <si>
    <t xml:space="preserve">DURYODHANULA TARUN KUMAR </t>
  </si>
  <si>
    <t xml:space="preserve">EETHA RENUKA </t>
  </si>
  <si>
    <t xml:space="preserve">GABU SURYA TEJA </t>
  </si>
  <si>
    <t xml:space="preserve">GANDI RUPA LAKSHMI MAHESWARI </t>
  </si>
  <si>
    <t xml:space="preserve">GANGAMALLA SOWMYA </t>
  </si>
  <si>
    <t xml:space="preserve">GANJI AYYAPPA </t>
  </si>
  <si>
    <t xml:space="preserve">GARAGA SRI SATYA SURYA NAGENDRA </t>
  </si>
  <si>
    <t xml:space="preserve">GINJALA AJAY PRAVEEN </t>
  </si>
  <si>
    <t xml:space="preserve">GOPI SRI POOJA KUSUMA </t>
  </si>
  <si>
    <t xml:space="preserve">GORLA RAVITEJA </t>
  </si>
  <si>
    <t xml:space="preserve">GORUSU BHANU PADMAJA REDDY </t>
  </si>
  <si>
    <t xml:space="preserve">GUBBALA DONICA VAISHNAVI </t>
  </si>
  <si>
    <t xml:space="preserve">GUTTHULA KRISHNA </t>
  </si>
  <si>
    <t xml:space="preserve">GUTTULA BHANU VENKATA RAMANA </t>
  </si>
  <si>
    <t xml:space="preserve">ILLA SRUTHI </t>
  </si>
  <si>
    <t xml:space="preserve">IPPILI YASWANT </t>
  </si>
  <si>
    <t xml:space="preserve">JAGANNADHA BHAGYA LAKSHMI </t>
  </si>
  <si>
    <t xml:space="preserve">JAGARAPU DIWAKAR </t>
  </si>
  <si>
    <t xml:space="preserve">JAKKI DEEPIKA </t>
  </si>
  <si>
    <t xml:space="preserve">JYOTHULA SURESH </t>
  </si>
  <si>
    <t xml:space="preserve">KADIYALA DEEPAK VENKATA RAMA MANIKANTA </t>
  </si>
  <si>
    <t xml:space="preserve">KADIYALA MOUNIKA NOOKARATNAM </t>
  </si>
  <si>
    <t xml:space="preserve">KAJULURI SRAMIKA </t>
  </si>
  <si>
    <t xml:space="preserve">KALLURI CHANDRA SEKHAR </t>
  </si>
  <si>
    <t xml:space="preserve">KAMMILI KRISHNA RAMA TULASI </t>
  </si>
  <si>
    <t xml:space="preserve">KANTE LAKSHMI NAGA CHAITANYA </t>
  </si>
  <si>
    <t xml:space="preserve">KANURI TEJANYA RAM </t>
  </si>
  <si>
    <t xml:space="preserve">KASUKURTHI JAGATH SRI SANJAY CHOWDARY </t>
  </si>
  <si>
    <t xml:space="preserve">KATTA PARAMESH </t>
  </si>
  <si>
    <t xml:space="preserve">KESAVARAPU CHANDRA NAGA VEERA SAI TEJ </t>
  </si>
  <si>
    <t xml:space="preserve">KIRLA DEVI PRIYA </t>
  </si>
  <si>
    <t xml:space="preserve">KODAMANCHILI DEVI </t>
  </si>
  <si>
    <t xml:space="preserve">KODAMATI RAGHUVELA RAJU </t>
  </si>
  <si>
    <t xml:space="preserve">KOLLI MAHANTHI </t>
  </si>
  <si>
    <t xml:space="preserve">KOLLI VAMSI KRISHNA </t>
  </si>
  <si>
    <t xml:space="preserve">KONA MOULYA SRI LAKSHMI </t>
  </si>
  <si>
    <t xml:space="preserve">KONDAPALLI TEJA SAI VARDHAN </t>
  </si>
  <si>
    <t xml:space="preserve">KOPPISETTI NAGACHAKRAM </t>
  </si>
  <si>
    <t xml:space="preserve">KOPPISETTI VEERA KESHAVANAD </t>
  </si>
  <si>
    <t xml:space="preserve">KORAGANGI BHARGAV SAI </t>
  </si>
  <si>
    <t xml:space="preserve">KORNI VENKATA SRIJA </t>
  </si>
  <si>
    <t xml:space="preserve">KOTHA SHARON </t>
  </si>
  <si>
    <t xml:space="preserve">KOTHAGUNDU V L N S BHARGAVI DURGA KUMARI </t>
  </si>
  <si>
    <t xml:space="preserve">KOTHURI VENKATESH </t>
  </si>
  <si>
    <t xml:space="preserve">KOTIKALAPUDI NAGASRI </t>
  </si>
  <si>
    <t xml:space="preserve">KOTIKALAPUDI YAMINI SUBRAHMANYESWARI </t>
  </si>
  <si>
    <t xml:space="preserve">LOLLA SIVA SURENDRA </t>
  </si>
  <si>
    <t xml:space="preserve">MADEPALLI SURESH </t>
  </si>
  <si>
    <t xml:space="preserve">MAGAPU VENKATAVEERASATYA SURYAAGNIHOTHRUDU </t>
  </si>
  <si>
    <t xml:space="preserve">MAGAPU VIJAY </t>
  </si>
  <si>
    <t xml:space="preserve">MALIREDDY YAMUNA </t>
  </si>
  <si>
    <t xml:space="preserve">MALLIREDDY ANAND </t>
  </si>
  <si>
    <t xml:space="preserve">MAMIDI DEVI SRI LAKSHMI PRASAD </t>
  </si>
  <si>
    <t xml:space="preserve">MAMIDI JAHNAVI </t>
  </si>
  <si>
    <t xml:space="preserve">MAMILLAPALLI SAI SHANMUKH </t>
  </si>
  <si>
    <t xml:space="preserve">MANDA MOSHEY REDDY </t>
  </si>
  <si>
    <t xml:space="preserve">MARADA SIRISHA </t>
  </si>
  <si>
    <t xml:space="preserve">MASAVARAPU PRAVEEN SATYA VINAY </t>
  </si>
  <si>
    <t xml:space="preserve">MATTAPALLI SRI HARI SAI KRISHNA </t>
  </si>
  <si>
    <t xml:space="preserve">MATTAPARTHI KALA VENKATA RAMANA </t>
  </si>
  <si>
    <t xml:space="preserve">MEDAPATI NAVEENA LAKSHMI </t>
  </si>
  <si>
    <t xml:space="preserve">MEDAVARAPU SNIGDHA MANOJNA </t>
  </si>
  <si>
    <t xml:space="preserve">MEDIPUDI VEERA VENKATA APPANNA DORA </t>
  </si>
  <si>
    <t xml:space="preserve">MEKA VEERA NAGESWARI </t>
  </si>
  <si>
    <t xml:space="preserve">MERNEEDI SIVA JNANESWARA SATISH KUMAR </t>
  </si>
  <si>
    <t xml:space="preserve">MIDDI PRASANNA </t>
  </si>
  <si>
    <t xml:space="preserve">MOSA VENKATESH </t>
  </si>
  <si>
    <t xml:space="preserve">MUKALA DEVA DURGA PRAVEEN </t>
  </si>
  <si>
    <t xml:space="preserve">MULLU HEMA LALITHA SRIVANI </t>
  </si>
  <si>
    <t xml:space="preserve">MULUKURI RAMYA </t>
  </si>
  <si>
    <t xml:space="preserve">MYLAPILLI RISHIKA </t>
  </si>
  <si>
    <t xml:space="preserve">NAGAM DIVYA RAMANI </t>
  </si>
  <si>
    <t xml:space="preserve">NAKKA SANDHYA </t>
  </si>
  <si>
    <t xml:space="preserve">NALAM SUSMITHA PRIYA </t>
  </si>
  <si>
    <t xml:space="preserve">NALLA BHAVIR </t>
  </si>
  <si>
    <t xml:space="preserve">NALLAREDDY SUBHADATTU </t>
  </si>
  <si>
    <t xml:space="preserve">NANDURI NAGA VEERA SANTHOSH </t>
  </si>
  <si>
    <t xml:space="preserve">NEELAKAYALA VEERA VENKATA SURYA NOOKARAJU </t>
  </si>
  <si>
    <t xml:space="preserve">NEELAM VENKATA SATYA SAI SANJANA </t>
  </si>
  <si>
    <t xml:space="preserve">NUTHANGI VIJAYA NAGA BALA LAKSHMI </t>
  </si>
  <si>
    <t xml:space="preserve">OSUPALLLI EASWAR </t>
  </si>
  <si>
    <t xml:space="preserve">PADALA MAHALAKSHMI </t>
  </si>
  <si>
    <t xml:space="preserve">PADALA SUVARNA LATHA </t>
  </si>
  <si>
    <t xml:space="preserve">PADALA SWATHI RUBEENA </t>
  </si>
  <si>
    <t xml:space="preserve">PAILA VIJAYA LAKSHMI </t>
  </si>
  <si>
    <t xml:space="preserve">PALIKA CHANDRIKA </t>
  </si>
  <si>
    <t xml:space="preserve">PALIKA THRIVIKRAM </t>
  </si>
  <si>
    <t xml:space="preserve">PALLEKALA SUREKHA </t>
  </si>
  <si>
    <t>PALUPOLU NISSI</t>
  </si>
  <si>
    <t xml:space="preserve">PAMPANA VEERANJANEYULU </t>
  </si>
  <si>
    <t xml:space="preserve">PAPPU RESHMA </t>
  </si>
  <si>
    <t xml:space="preserve">PARIMALA SRAVANI </t>
  </si>
  <si>
    <t xml:space="preserve">PASUPULETI SRIVEERASRIMAHALAKSHMI BHARATHI </t>
  </si>
  <si>
    <t xml:space="preserve">PATNALA UDAYA DURGESH </t>
  </si>
  <si>
    <t xml:space="preserve">PEDDIREDDY BANGARUKONDA </t>
  </si>
  <si>
    <t xml:space="preserve">PEETHALA DEVA RISHI </t>
  </si>
  <si>
    <t xml:space="preserve">PENDYALA BHARGAVA KUMAR </t>
  </si>
  <si>
    <t xml:space="preserve">PENKE VENKATESH </t>
  </si>
  <si>
    <t xml:space="preserve">PENKEY HARI PRIYA </t>
  </si>
  <si>
    <t xml:space="preserve">PENNADA CHAITANYA VENKATA SAI RAM </t>
  </si>
  <si>
    <t xml:space="preserve">PENUMALA PRAVALLIKA </t>
  </si>
  <si>
    <t xml:space="preserve">PEPAKAYALA SATYANANDA KISHORE </t>
  </si>
  <si>
    <t xml:space="preserve">PEYYALA VENKATA JAGADEESH </t>
  </si>
  <si>
    <t xml:space="preserve">PONNADA AVINASH </t>
  </si>
  <si>
    <t xml:space="preserve">POTHULA LAKSHMI SRAVANYA </t>
  </si>
  <si>
    <t xml:space="preserve">PULI VEERA DURGA MANIKANTA </t>
  </si>
  <si>
    <t xml:space="preserve">PULUGU SATYA VARAPRASAD </t>
  </si>
  <si>
    <t xml:space="preserve">PUNYAMANTHULA AKHIL </t>
  </si>
  <si>
    <t xml:space="preserve">PUNYAMANTHULA ASWINI </t>
  </si>
  <si>
    <t xml:space="preserve">PUNYAMANTHULA PARNIKA KRISHNAVENI </t>
  </si>
  <si>
    <t xml:space="preserve">PUPPALA AKHILA </t>
  </si>
  <si>
    <t xml:space="preserve">PUPPALA LAKSHMI VENKATA MURALI </t>
  </si>
  <si>
    <t xml:space="preserve">PUPPALA NAGA DURGA SIVA KUMARI </t>
  </si>
  <si>
    <t xml:space="preserve">PYLA DURGA PRASANNA SURYA </t>
  </si>
  <si>
    <t xml:space="preserve">RACHURI MAHESH SURYA VINAY </t>
  </si>
  <si>
    <t xml:space="preserve">RAMARLAPUDI SATYA SAI DURGA PRASAD </t>
  </si>
  <si>
    <t xml:space="preserve">RASAMSETTI DEVIDRAJU </t>
  </si>
  <si>
    <t xml:space="preserve">RAYUDU RAJESH </t>
  </si>
  <si>
    <t xml:space="preserve">SAGARAPU KEERTHI SAI </t>
  </si>
  <si>
    <t xml:space="preserve">SALADI VEERAVENKATA BHAVANI JAGAN </t>
  </si>
  <si>
    <t xml:space="preserve">SANABOINA BALA RAJU </t>
  </si>
  <si>
    <t xml:space="preserve">SANKA MAHITHA </t>
  </si>
  <si>
    <t xml:space="preserve">SARAGADA RENUKA DEVI </t>
  </si>
  <si>
    <t xml:space="preserve">SARESE LOVA SIVA </t>
  </si>
  <si>
    <t xml:space="preserve">SIRUGUDI AKHIL </t>
  </si>
  <si>
    <t xml:space="preserve">SORNAPUDI MANOJ SAI VEERENDRA </t>
  </si>
  <si>
    <t xml:space="preserve">SURADA RAMA KRISHNA </t>
  </si>
  <si>
    <t xml:space="preserve">SURLA VASANTHA </t>
  </si>
  <si>
    <t xml:space="preserve">TALLAPU DEVI </t>
  </si>
  <si>
    <t xml:space="preserve">TAMILISETTI RANJITH REDDY </t>
  </si>
  <si>
    <t xml:space="preserve">THONTEPU VIJAY </t>
  </si>
  <si>
    <t xml:space="preserve">THOTAKURA SWATHI SURYA KIRAN </t>
  </si>
  <si>
    <t xml:space="preserve">TIRUMALASETTI UDAY SAI CHAKRADHAR </t>
  </si>
  <si>
    <t xml:space="preserve">TOGARU MAHARAM </t>
  </si>
  <si>
    <t xml:space="preserve">TUMMALAPALLI DEVA KUMAR </t>
  </si>
  <si>
    <t xml:space="preserve">UDIGA AJAYKUMAR </t>
  </si>
  <si>
    <t xml:space="preserve">ULISETTI TARAKARAMA BADRA PARDHA NARASIMHA </t>
  </si>
  <si>
    <t>VADAGABATHULA SURYA VINAY</t>
  </si>
  <si>
    <t xml:space="preserve">VADAPALLI SRI PRABHAVATHI </t>
  </si>
  <si>
    <t xml:space="preserve">VADREVU YUVA RAJ </t>
  </si>
  <si>
    <t xml:space="preserve">VARRE VAMSI SAI KRISHNA </t>
  </si>
  <si>
    <t xml:space="preserve">VARUPULA MANIKYA DURGA </t>
  </si>
  <si>
    <t xml:space="preserve">VASAMSETTI CHARAN SRI SATYA TEJA </t>
  </si>
  <si>
    <t xml:space="preserve">VASAMSETTI MOHAN VENKATA RAMANA </t>
  </si>
  <si>
    <t xml:space="preserve">VASAMSETTI PAVANI VENKATESWARI </t>
  </si>
  <si>
    <t xml:space="preserve">VASIREDDY SATYA BHAVYASRI </t>
  </si>
  <si>
    <t xml:space="preserve">VATTARA JOHN MOSES </t>
  </si>
  <si>
    <t xml:space="preserve">VEELI BHARGAVI SATYA MAHALAKSHMI </t>
  </si>
  <si>
    <t xml:space="preserve">VELLAMPALLI SIVADEVI </t>
  </si>
  <si>
    <t xml:space="preserve">VELUGULA KEERTHANA </t>
  </si>
  <si>
    <t xml:space="preserve">VUNDAVILLI SATYA SUVARCHALA </t>
  </si>
  <si>
    <t xml:space="preserve">YAKA VEERA VENKATA DURGA JYOTHI </t>
  </si>
  <si>
    <t xml:space="preserve">YANAMADALA POORNA ARAVIND KUMAR </t>
  </si>
  <si>
    <t xml:space="preserve">YANDAMURI NAVYA </t>
  </si>
  <si>
    <t xml:space="preserve">YARRAMNEEDI TEJA SRI </t>
  </si>
  <si>
    <t xml:space="preserve">YELLABOYINA MONIKA </t>
  </si>
  <si>
    <t xml:space="preserve">ADAPA SAI MAHESH </t>
  </si>
  <si>
    <t xml:space="preserve">AKKIREDDY PRIYANKA </t>
  </si>
  <si>
    <t xml:space="preserve">AMARADHI ABHI KRISHNA </t>
  </si>
  <si>
    <t xml:space="preserve">ANASURI SUNNY SUKESH </t>
  </si>
  <si>
    <t xml:space="preserve">BADRI HADASHYA </t>
  </si>
  <si>
    <t xml:space="preserve">BAGI MEGHANA </t>
  </si>
  <si>
    <t xml:space="preserve">BAHUROJU VINOD </t>
  </si>
  <si>
    <t xml:space="preserve">BANDARU SARATH KUMAR </t>
  </si>
  <si>
    <t xml:space="preserve">BANDARU TARUN SAI VISWANADH </t>
  </si>
  <si>
    <t xml:space="preserve">BETHA DINESH VENKATA KUMAR </t>
  </si>
  <si>
    <t xml:space="preserve">BODDU SRI SAI KRISHNA KUMAR </t>
  </si>
  <si>
    <t xml:space="preserve">BOJJAPU DEEPIKA </t>
  </si>
  <si>
    <t xml:space="preserve">BOLLU UMA MAHESH GANGADHAR KUMAR </t>
  </si>
  <si>
    <t xml:space="preserve">BUDDALA DEVI GANESH </t>
  </si>
  <si>
    <t xml:space="preserve">CHEKKA LALITHA </t>
  </si>
  <si>
    <t xml:space="preserve">CHEVVAKULA NANDA KISHORE </t>
  </si>
  <si>
    <t xml:space="preserve">CHODIPALLI JAGANNADHAM </t>
  </si>
  <si>
    <t xml:space="preserve">CHOLLANGI SATYA BHAVANI </t>
  </si>
  <si>
    <t xml:space="preserve">CHUKKALA GOWTHAM KUMAR </t>
  </si>
  <si>
    <t xml:space="preserve">DEVU SRI SADANANDA KUMAR </t>
  </si>
  <si>
    <t xml:space="preserve">DONTHALA SAMPATH KUMAR </t>
  </si>
  <si>
    <t xml:space="preserve">GALI V V SIDDI AVANISH </t>
  </si>
  <si>
    <t xml:space="preserve">GANDI PRABHUDAS </t>
  </si>
  <si>
    <t xml:space="preserve">GANDI VEERA SURYANARAYANA </t>
  </si>
  <si>
    <t xml:space="preserve">GEDDAM NAVEEN KUMAR </t>
  </si>
  <si>
    <t xml:space="preserve">GINJALA SIDDHU TRINADH </t>
  </si>
  <si>
    <t xml:space="preserve">GUDALA JAI SRIRAMA SANDHEEP </t>
  </si>
  <si>
    <t xml:space="preserve">GUDAVALLI KARTHIK PRASAD </t>
  </si>
  <si>
    <t xml:space="preserve">JUVVALA VENKATA LAKSHMAN </t>
  </si>
  <si>
    <t xml:space="preserve">KADARI VEMAKISHORE </t>
  </si>
  <si>
    <t xml:space="preserve">KAISARLA RUPENDRA KUMAR </t>
  </si>
  <si>
    <t xml:space="preserve">KAKARAPALLI NAGENDRA </t>
  </si>
  <si>
    <t xml:space="preserve">KAKARAPALLI SAI VIGNESH </t>
  </si>
  <si>
    <t xml:space="preserve">KAKARAPALLI VENKAT </t>
  </si>
  <si>
    <t xml:space="preserve">KAKKALA GANAPATHI </t>
  </si>
  <si>
    <t xml:space="preserve">KATTAMURI SAI PAVAN KUMAR </t>
  </si>
  <si>
    <t xml:space="preserve">KOLA BHARATH KUMAR </t>
  </si>
  <si>
    <t>KOLLI NIKHITHA</t>
  </si>
  <si>
    <t xml:space="preserve">KONA DIVAKAR </t>
  </si>
  <si>
    <t xml:space="preserve">KONDELA MAHESH </t>
  </si>
  <si>
    <t xml:space="preserve">KOPPISETTI VINOHARI </t>
  </si>
  <si>
    <t xml:space="preserve">KOPPULA VEERA VENKATA SAI </t>
  </si>
  <si>
    <t xml:space="preserve">KOSURI PRADEEP </t>
  </si>
  <si>
    <t xml:space="preserve">KOTA SHANMUKHESWARA RAO </t>
  </si>
  <si>
    <t xml:space="preserve">KOTHAPALLI S S S S LALITHA </t>
  </si>
  <si>
    <t xml:space="preserve">KUNCHE BLESSY </t>
  </si>
  <si>
    <t xml:space="preserve">KUNCHE JESSY </t>
  </si>
  <si>
    <t xml:space="preserve">LANKA PURUSHOTHAM </t>
  </si>
  <si>
    <t xml:space="preserve">MARISETTI LAKSHMI PRASANTHI </t>
  </si>
  <si>
    <t xml:space="preserve">MERUGU SATYAVIKAS </t>
  </si>
  <si>
    <t xml:space="preserve">MIRIYALA SOWBHAGYA BALAJI GANESH </t>
  </si>
  <si>
    <t xml:space="preserve">MOHAMMED SADHIK </t>
  </si>
  <si>
    <t>MURUKURTHI VIJAY</t>
  </si>
  <si>
    <t xml:space="preserve">MUTHYAMPALLI NIKHIL </t>
  </si>
  <si>
    <t xml:space="preserve">NANDIKOLLA BALA GANGADHAR </t>
  </si>
  <si>
    <t xml:space="preserve">NARALA MANASWI </t>
  </si>
  <si>
    <t xml:space="preserve">NUNE VEERA VENKATA YESU SURYA KEERTHANA </t>
  </si>
  <si>
    <t xml:space="preserve">PABBINEEDI VEERA DURGA PAVAN KUMAR </t>
  </si>
  <si>
    <t xml:space="preserve">PATTA VISWANADHA SUBRAMANYAM </t>
  </si>
  <si>
    <t xml:space="preserve">PEMMADI LAKSHMINARAYANA </t>
  </si>
  <si>
    <t xml:space="preserve">PENKEY SAI HARSHA </t>
  </si>
  <si>
    <t xml:space="preserve">PENTAPATI SRI KRISHNA PRABHAKAR </t>
  </si>
  <si>
    <t xml:space="preserve">PETTUM RAMESH </t>
  </si>
  <si>
    <t xml:space="preserve">PINAPOTHU ABHISHEK VARMA </t>
  </si>
  <si>
    <t xml:space="preserve">POLARATHI ARAVINDH NUKESH </t>
  </si>
  <si>
    <t xml:space="preserve">PUPPALA JASWANTH </t>
  </si>
  <si>
    <t xml:space="preserve">RASAMSETTI SANTHOSH </t>
  </si>
  <si>
    <t xml:space="preserve">RONGALA GOWRI SRI SHANKAR </t>
  </si>
  <si>
    <t xml:space="preserve">SADANALA PASU GANAPATHI </t>
  </si>
  <si>
    <t xml:space="preserve">SANA VENKATA SATYA </t>
  </si>
  <si>
    <t xml:space="preserve">SARAKANAM SRI THRISHOR </t>
  </si>
  <si>
    <t xml:space="preserve">SATHI SATYA KANAKA PRABHA </t>
  </si>
  <si>
    <t xml:space="preserve">SEERAPU HARI PRASAD </t>
  </si>
  <si>
    <t xml:space="preserve">SHAIK BASHEER AHAMAD </t>
  </si>
  <si>
    <t xml:space="preserve">SHEIK AHMAD </t>
  </si>
  <si>
    <t xml:space="preserve">SIDDABATHULA SRI NAGA PRAVEEN RAM </t>
  </si>
  <si>
    <t xml:space="preserve">SOMALA TEJAS </t>
  </si>
  <si>
    <t xml:space="preserve">TAGARAMPUDI MOURYA CHANDRA </t>
  </si>
  <si>
    <t xml:space="preserve">TALATAM CHARAN TEJA </t>
  </si>
  <si>
    <t xml:space="preserve">TEKIMUDI CHARAN TEJA </t>
  </si>
  <si>
    <t xml:space="preserve">THALARI DHANUNJAY KRISHNA </t>
  </si>
  <si>
    <t xml:space="preserve">THANDRANGI DAVID KUMAR </t>
  </si>
  <si>
    <t xml:space="preserve">TIBIRISETTI SATYA SAI </t>
  </si>
  <si>
    <t xml:space="preserve">TIVARI PRITHVI SAI SURAJ </t>
  </si>
  <si>
    <t xml:space="preserve">UKKUSURI VENKATA RAM SURYA </t>
  </si>
  <si>
    <t xml:space="preserve">VAITLA VEERA SATYA SRI </t>
  </si>
  <si>
    <t xml:space="preserve">VALLU BADRINARAYANA </t>
  </si>
  <si>
    <t xml:space="preserve">VEMULA SHIVA </t>
  </si>
  <si>
    <t xml:space="preserve">VENTRU GOWTHAM GILL </t>
  </si>
  <si>
    <t xml:space="preserve">VUNDAVILLI PALLAVI </t>
  </si>
  <si>
    <t xml:space="preserve">YEDDU KIRAN TEJA </t>
  </si>
  <si>
    <t xml:space="preserve">YERUBANDI VEERA SAI ASWANTH </t>
  </si>
  <si>
    <t>FANELE GOODWILL NCUBE</t>
  </si>
  <si>
    <t xml:space="preserve">ACHANTA VENKATA ABHIRAMA KRISHNA </t>
  </si>
  <si>
    <t xml:space="preserve">AMALAKOTA DATTA SAI </t>
  </si>
  <si>
    <t xml:space="preserve">ANKABATHULA DEEPIKA </t>
  </si>
  <si>
    <t xml:space="preserve">ANUSURI MANIKANTA </t>
  </si>
  <si>
    <t xml:space="preserve">ARIBILLI ANUSHA GRACE </t>
  </si>
  <si>
    <t xml:space="preserve">BADAMPUDI RAM SARAN TEJ </t>
  </si>
  <si>
    <t xml:space="preserve">BEJAWADA CHAKRA SIVA SATYA </t>
  </si>
  <si>
    <t xml:space="preserve">BODDU SANTHOSH </t>
  </si>
  <si>
    <t xml:space="preserve">BONDA MONIKA NANDINI </t>
  </si>
  <si>
    <t xml:space="preserve">BURADA VENKATA SAI ANUDEEP </t>
  </si>
  <si>
    <t xml:space="preserve">CHAKKIDALA VEERA VENKATA DURGA PRASAD </t>
  </si>
  <si>
    <t xml:space="preserve">CHALLA RUPA SIRI </t>
  </si>
  <si>
    <t xml:space="preserve">CHEKKA NAVYA SRI </t>
  </si>
  <si>
    <t xml:space="preserve">CHIKKALA MANIKANTA </t>
  </si>
  <si>
    <t xml:space="preserve">CHINNI DURGA SRAVYA </t>
  </si>
  <si>
    <t xml:space="preserve">CHINTAPALLI GAYATRI SOWJANYA </t>
  </si>
  <si>
    <t xml:space="preserve">CHINTHAKULA SURENDRA </t>
  </si>
  <si>
    <t xml:space="preserve">CHINTHALA SUBHASH </t>
  </si>
  <si>
    <t xml:space="preserve">DANDA SRAVANI </t>
  </si>
  <si>
    <t xml:space="preserve">DUVVAPU SRUJANA GLORI </t>
  </si>
  <si>
    <t xml:space="preserve">EEPI AJAY KUMAR </t>
  </si>
  <si>
    <t xml:space="preserve">GADI SARASWATHI </t>
  </si>
  <si>
    <t xml:space="preserve">GANDI SAI TEJA GANGA VAISHNAVI </t>
  </si>
  <si>
    <t xml:space="preserve">GATTI BALA MANASA </t>
  </si>
  <si>
    <t xml:space="preserve">GELLA LAKSHMI PRAMILA </t>
  </si>
  <si>
    <t xml:space="preserve">GIRIJALA B V S D S MAHESH </t>
  </si>
  <si>
    <t xml:space="preserve">GOLLAPALLI JEYRAM DHARSHIN </t>
  </si>
  <si>
    <t xml:space="preserve">GONDESI VIHARI </t>
  </si>
  <si>
    <t xml:space="preserve">GOWTHU DEVI </t>
  </si>
  <si>
    <t xml:space="preserve">GURRAM VENKATA NAGESWARI </t>
  </si>
  <si>
    <t xml:space="preserve">GURUVILLI SASI VARDHINI </t>
  </si>
  <si>
    <t xml:space="preserve">GUVVALA AVINASH </t>
  </si>
  <si>
    <t xml:space="preserve">ILLA BHARGAV </t>
  </si>
  <si>
    <t xml:space="preserve">JAGU MEGANA </t>
  </si>
  <si>
    <t>JONNALAGADDA SUBHASH</t>
  </si>
  <si>
    <t xml:space="preserve">JUTTADA MEGHANA </t>
  </si>
  <si>
    <t xml:space="preserve">KADALI SRIVALLI </t>
  </si>
  <si>
    <t xml:space="preserve">KAKI SRIVALLI </t>
  </si>
  <si>
    <t xml:space="preserve">KALIDINDI ADITYA RISHI RAJU </t>
  </si>
  <si>
    <t xml:space="preserve">KANDULA SURYA LAKSHMI SAHITHI </t>
  </si>
  <si>
    <t xml:space="preserve">KANKIPATI SAI SARANYA HARSHA </t>
  </si>
  <si>
    <t xml:space="preserve">KANURI KARTHIKA </t>
  </si>
  <si>
    <t xml:space="preserve">KARANAM YOGESWARA LAKSHMI CHARAN </t>
  </si>
  <si>
    <t xml:space="preserve">KARRI JAHNAVI SRI LAKSHMI PRASANNA </t>
  </si>
  <si>
    <t xml:space="preserve">KARRI NANDINI </t>
  </si>
  <si>
    <t>KATTA PRAMEELA</t>
  </si>
  <si>
    <t xml:space="preserve">KOLA SATYA KISHORE </t>
  </si>
  <si>
    <t xml:space="preserve">KONADA SURYA KALYANI </t>
  </si>
  <si>
    <t xml:space="preserve">KONDAPALLI SIRI MANASA </t>
  </si>
  <si>
    <t xml:space="preserve">KOPPANA VENKATA ROHITH </t>
  </si>
  <si>
    <t xml:space="preserve">KOVVURI DIVYA SRI </t>
  </si>
  <si>
    <t xml:space="preserve">KULLA RESHMA SRI </t>
  </si>
  <si>
    <t xml:space="preserve">KUNISETTI ABHISHEKREDDY </t>
  </si>
  <si>
    <t xml:space="preserve">LAKKASANI DEVI PRUDHVI RAJU </t>
  </si>
  <si>
    <t>LANKE BALAJI</t>
  </si>
  <si>
    <t xml:space="preserve">MALLUVALASA VARSHITHA </t>
  </si>
  <si>
    <t xml:space="preserve">MAMIDI HIMAHESWARI INDUMATHI </t>
  </si>
  <si>
    <t xml:space="preserve">MANTHENA SARANYA SREE MADHURI </t>
  </si>
  <si>
    <t xml:space="preserve">MEDAPATI NAGENDRA VARMA </t>
  </si>
  <si>
    <t xml:space="preserve">MOHAMMED ARIFA </t>
  </si>
  <si>
    <t xml:space="preserve">MONDUPULANKA GAYATHRI </t>
  </si>
  <si>
    <t xml:space="preserve">MOSALI SAMYUKTHA </t>
  </si>
  <si>
    <t xml:space="preserve">MUCHIPALLI VIJAYA JYOTHISHNA SRI </t>
  </si>
  <si>
    <t xml:space="preserve">MUDADA DURGA BHAVANI </t>
  </si>
  <si>
    <t xml:space="preserve">MUKKU LEELA PRASUNA KAVYA </t>
  </si>
  <si>
    <t xml:space="preserve">MUMMIDI ARCHANA </t>
  </si>
  <si>
    <t xml:space="preserve">MUPPIDI JHANSI DEVI </t>
  </si>
  <si>
    <t xml:space="preserve">NALLAM SURYA NAGA MALLESWARI </t>
  </si>
  <si>
    <t xml:space="preserve">NARLA SOWJANYA </t>
  </si>
  <si>
    <t xml:space="preserve">OGGU APARNA </t>
  </si>
  <si>
    <t xml:space="preserve">PALEPU ROHITH GANGADHAR </t>
  </si>
  <si>
    <t>PALINKI GANGA</t>
  </si>
  <si>
    <t xml:space="preserve">PAMPANA SAI KUMAR </t>
  </si>
  <si>
    <t xml:space="preserve">PATTAMATTA MANOGNYA </t>
  </si>
  <si>
    <t xml:space="preserve">PEDIREDLA NAGA GANGA </t>
  </si>
  <si>
    <t xml:space="preserve">PEPAKAYALA HANUMANTHA RAO </t>
  </si>
  <si>
    <t xml:space="preserve">PEPAKAYALA SIVA MANIKANTA </t>
  </si>
  <si>
    <t xml:space="preserve">PITHANI CHATURYA </t>
  </si>
  <si>
    <t xml:space="preserve">PODILAPU SIRI </t>
  </si>
  <si>
    <t xml:space="preserve">PUPPALA MADHU </t>
  </si>
  <si>
    <t xml:space="preserve">RAJANALA S S S N LAKSHMI PAVANA SAMHITHA </t>
  </si>
  <si>
    <t xml:space="preserve">REKADI GANGADRI </t>
  </si>
  <si>
    <t xml:space="preserve">RONGALA DIVYA </t>
  </si>
  <si>
    <t xml:space="preserve">SADHANALA NAVYA </t>
  </si>
  <si>
    <t xml:space="preserve">SAMIREDDY HEMANTH </t>
  </si>
  <si>
    <t xml:space="preserve">SEEMUSURU HARISH </t>
  </si>
  <si>
    <t xml:space="preserve">SEERAM MANASA </t>
  </si>
  <si>
    <t xml:space="preserve">SHAIK SUBHANI </t>
  </si>
  <si>
    <t xml:space="preserve">SHAIK USMAN </t>
  </si>
  <si>
    <t xml:space="preserve">SURISETTI SWAPNA LATHA </t>
  </si>
  <si>
    <t xml:space="preserve">THANETI DURGA </t>
  </si>
  <si>
    <t xml:space="preserve">THIPPANA HEMA SRI SIVA SANKAR </t>
  </si>
  <si>
    <t xml:space="preserve">TIBIRISETTI PURNA NAGA SAI CHANDANA </t>
  </si>
  <si>
    <t xml:space="preserve">UPPALAPU SWAMY CHARAN </t>
  </si>
  <si>
    <t xml:space="preserve">VASAMSETTI SYAMALA VENKATA KUMARI </t>
  </si>
  <si>
    <t xml:space="preserve">VASIREDDI SATYA GANESH </t>
  </si>
  <si>
    <t xml:space="preserve">VATHADI JASWITHA RAGHAVA </t>
  </si>
  <si>
    <t xml:space="preserve">VUTA ABHIRAM </t>
  </si>
  <si>
    <t xml:space="preserve">YELUGUBANTI ANIL KUMAR </t>
  </si>
  <si>
    <t xml:space="preserve">BAIRA VEERA RAGHAVULU </t>
  </si>
  <si>
    <t xml:space="preserve">BALIREDDY NAGA SUBRAHMANYAM </t>
  </si>
  <si>
    <t xml:space="preserve">BATTINA YESU RATNAM </t>
  </si>
  <si>
    <t xml:space="preserve">BAVIRISETTI JAGADEESWARI SOWMYA </t>
  </si>
  <si>
    <t xml:space="preserve">BODDU VEERA SAI RATNA SRI KIRTHY </t>
  </si>
  <si>
    <t xml:space="preserve">CHAKKAPALLI ROHITH LAKSHMAN </t>
  </si>
  <si>
    <t xml:space="preserve">CHINNALA BHANU KIRAN </t>
  </si>
  <si>
    <t xml:space="preserve">CHOLLANGI BHANU PRAKASH </t>
  </si>
  <si>
    <t xml:space="preserve">DADALA SANTHI RAJU </t>
  </si>
  <si>
    <t xml:space="preserve">DANDUMENU VENKATA KIRAN </t>
  </si>
  <si>
    <t xml:space="preserve">DANGETI ASIESH AARON </t>
  </si>
  <si>
    <t xml:space="preserve">DESETTI ESWAR </t>
  </si>
  <si>
    <t xml:space="preserve">DOOSARLAPOODI KODANDA SATYA VENKATESH </t>
  </si>
  <si>
    <t xml:space="preserve">DORA VEERA SATYA LALITHA NAGA LAKSHMI </t>
  </si>
  <si>
    <t xml:space="preserve">DOSAPADULA VENKATA CHARAN </t>
  </si>
  <si>
    <t xml:space="preserve">GAIPURI CHARAN </t>
  </si>
  <si>
    <t xml:space="preserve">GANDHAM ASRITHA </t>
  </si>
  <si>
    <t xml:space="preserve">GARIKINA JAMES </t>
  </si>
  <si>
    <t xml:space="preserve">GARIKINA NANI </t>
  </si>
  <si>
    <t xml:space="preserve">GUDUPU MOHAN RAJU </t>
  </si>
  <si>
    <t xml:space="preserve">GUNDUBILLI VENKATA NEERAJ </t>
  </si>
  <si>
    <t xml:space="preserve">INTI VEERENDRA SAI KUMAR </t>
  </si>
  <si>
    <t xml:space="preserve">JYOTHULA BANGARAM </t>
  </si>
  <si>
    <t xml:space="preserve">KADIMISETTI SAI SUBRAHMANYAM </t>
  </si>
  <si>
    <t xml:space="preserve">KADIYALA GOWTHAM SAI SANKAR </t>
  </si>
  <si>
    <t xml:space="preserve">KALAGARA NAGA KIRAN </t>
  </si>
  <si>
    <t xml:space="preserve">KANTE KEERTHANA </t>
  </si>
  <si>
    <t xml:space="preserve">LAVETI THANUSHA </t>
  </si>
  <si>
    <t xml:space="preserve">MADIKI SIVA NAGA SATYANARAYANA </t>
  </si>
  <si>
    <t xml:space="preserve">MADUGULA AVINASH </t>
  </si>
  <si>
    <t xml:space="preserve">MAGAPU NAGA DURGA GANGA RAMESH </t>
  </si>
  <si>
    <t xml:space="preserve">MATHURTHI AKHILA </t>
  </si>
  <si>
    <t xml:space="preserve">MATTA VENKATA SAI SIVA SURYA </t>
  </si>
  <si>
    <t xml:space="preserve">MOHAMMAD MEHARUNNISA </t>
  </si>
  <si>
    <t xml:space="preserve">MOHAMMED FAIZAAN </t>
  </si>
  <si>
    <t xml:space="preserve">NAKKA NAVACHAITANYA </t>
  </si>
  <si>
    <t xml:space="preserve">NALLA BALA SAI SATYAPADA APPARAO </t>
  </si>
  <si>
    <t xml:space="preserve">NETI SRIJA </t>
  </si>
  <si>
    <t>NICHINAGUNTA AMANI</t>
  </si>
  <si>
    <t xml:space="preserve">PADALA LOVAGANI </t>
  </si>
  <si>
    <t xml:space="preserve">PILLI VENKATA SAI ABHINAV </t>
  </si>
  <si>
    <t xml:space="preserve">POLIMERA PRADEEP </t>
  </si>
  <si>
    <t xml:space="preserve">PULAPAKURA SURAJ SAHIL </t>
  </si>
  <si>
    <t xml:space="preserve">RAYUDU KALYAN VEERA NAGENDRA </t>
  </si>
  <si>
    <t xml:space="preserve">SAMUDALAPALEPU HEMANTH SRI NARAYANA </t>
  </si>
  <si>
    <t xml:space="preserve">SHEIK ABDUL WAHAB </t>
  </si>
  <si>
    <t xml:space="preserve">SHIEK USHMAN MITRA </t>
  </si>
  <si>
    <t xml:space="preserve">SIRIPURAPU SANTHOSH KUMAR </t>
  </si>
  <si>
    <t>VASAMSETTI PREMLAL</t>
  </si>
  <si>
    <t xml:space="preserve">VASIREDDI SUSHMA SRI </t>
  </si>
  <si>
    <t xml:space="preserve">VUYYURI NAGA VEERA VENKATA SAI GANESH </t>
  </si>
  <si>
    <t xml:space="preserve">AMBUJALAPU NAGENDHRA </t>
  </si>
  <si>
    <t xml:space="preserve">APSANI MANOJ CHANDRA </t>
  </si>
  <si>
    <t xml:space="preserve">BANDI ANAND TEJA </t>
  </si>
  <si>
    <t xml:space="preserve">BATHINA SATYA SWAROOP </t>
  </si>
  <si>
    <t xml:space="preserve">BELLAPUKONADA NAVYASRI </t>
  </si>
  <si>
    <t xml:space="preserve">BHARATALA JAYASRI SANTOSHI RATNAM </t>
  </si>
  <si>
    <t xml:space="preserve">BOLLU SRI SAI SURYA GANGA VENKAT </t>
  </si>
  <si>
    <t xml:space="preserve">CHANDAKA SAI HEMANTH </t>
  </si>
  <si>
    <t xml:space="preserve">DADALA KRISHNAKANTH </t>
  </si>
  <si>
    <t xml:space="preserve">DANDUPROLU DHANUSH </t>
  </si>
  <si>
    <t xml:space="preserve">DARANALAKOTA LAVANYA </t>
  </si>
  <si>
    <t xml:space="preserve">DEGALA BALA SUBRAHMANYAM </t>
  </si>
  <si>
    <t xml:space="preserve">DEVISETTI VEERA VENKATA SAI </t>
  </si>
  <si>
    <t xml:space="preserve">ELLA VINAY </t>
  </si>
  <si>
    <t xml:space="preserve">ETAMSETTI TEJA </t>
  </si>
  <si>
    <t xml:space="preserve">GALLA NARENDRA </t>
  </si>
  <si>
    <t xml:space="preserve">GANDI RUPESH KUMAR </t>
  </si>
  <si>
    <t xml:space="preserve">GAVIREDDY  HYMA </t>
  </si>
  <si>
    <t xml:space="preserve">GINJALA SIRI SATYA KALYANI </t>
  </si>
  <si>
    <t xml:space="preserve">GOBERU MAHA LAKSHMI DURGA ASRITA </t>
  </si>
  <si>
    <t xml:space="preserve">GOLAGANI ANU </t>
  </si>
  <si>
    <t xml:space="preserve">GORLA BAGYA VARA LAKSHMI </t>
  </si>
  <si>
    <t xml:space="preserve">GUNNAM TEJASWANI </t>
  </si>
  <si>
    <t xml:space="preserve">KAKARAPARTHI GUNA SHEKAR </t>
  </si>
  <si>
    <t xml:space="preserve">KANCHIRAJU SAI ANNAPURNA SAMEEKSHA </t>
  </si>
  <si>
    <t xml:space="preserve">KARAKA KRISHNA </t>
  </si>
  <si>
    <t xml:space="preserve">KARANAM RAVI TEJA </t>
  </si>
  <si>
    <t xml:space="preserve">KARRI ANITHA </t>
  </si>
  <si>
    <t xml:space="preserve">KARRI PRAVALLIKA </t>
  </si>
  <si>
    <t xml:space="preserve">KOKA VIGNESH RAM GOPAL </t>
  </si>
  <si>
    <t xml:space="preserve">KORUKONDA PRAJWAL RAKESH </t>
  </si>
  <si>
    <t xml:space="preserve">KOVVURI JYOTHI VEERA LAKSHMI PRIYANKA </t>
  </si>
  <si>
    <t xml:space="preserve">MALLIPUDI KEERTHANA </t>
  </si>
  <si>
    <t xml:space="preserve">MAMIDI SOFIYA </t>
  </si>
  <si>
    <t xml:space="preserve">MEDA SAMYELU </t>
  </si>
  <si>
    <t xml:space="preserve">MEDARAMATI KEERTHANA </t>
  </si>
  <si>
    <t xml:space="preserve">MEDISETTI CHAITANYA SRI MAHI </t>
  </si>
  <si>
    <t xml:space="preserve">MEDISETTI RAMYADEVI </t>
  </si>
  <si>
    <t xml:space="preserve">MIRIHIPATI V V S V NIRUPAMA </t>
  </si>
  <si>
    <t xml:space="preserve">MOGALAPU VIJAY </t>
  </si>
  <si>
    <t xml:space="preserve">MUDDA PAVAN MANOJ </t>
  </si>
  <si>
    <t xml:space="preserve">MUMMANA SANTHOSH KUMAR </t>
  </si>
  <si>
    <t xml:space="preserve">MUMMIDI JOSEPH KISHORE </t>
  </si>
  <si>
    <t xml:space="preserve">NOKKA SRISANTH </t>
  </si>
  <si>
    <t xml:space="preserve">PABBU VIGNESH </t>
  </si>
  <si>
    <t xml:space="preserve">PALLI SUSHMA </t>
  </si>
  <si>
    <t xml:space="preserve">PALURI VEERA VENKATA APURUPA LAKSHMI </t>
  </si>
  <si>
    <t xml:space="preserve">PALURI VYSHNAVI </t>
  </si>
  <si>
    <t xml:space="preserve">PEDDIREDDY VEERA NARAYANAMMA </t>
  </si>
  <si>
    <t xml:space="preserve">PEKETI NAGASIDDU </t>
  </si>
  <si>
    <t xml:space="preserve">PEYYALA KRISHNA VAMSI </t>
  </si>
  <si>
    <t xml:space="preserve">PONNADA JESHIKA VISWA </t>
  </si>
  <si>
    <t xml:space="preserve">PRAYAGALA YUGANDHAR </t>
  </si>
  <si>
    <t xml:space="preserve">PULIBANTI THARUN KUMAR </t>
  </si>
  <si>
    <t xml:space="preserve">RAYUDU PAVANI </t>
  </si>
  <si>
    <t xml:space="preserve">RELLIVALASA ARAVIND CHARAN NIKHIL </t>
  </si>
  <si>
    <t xml:space="preserve">SALADI SUNITHA </t>
  </si>
  <si>
    <t xml:space="preserve">SANA LAKSHMI GANGA BHAVANI </t>
  </si>
  <si>
    <t xml:space="preserve">SANAPALLI VEERA SATYA SAI RAVI </t>
  </si>
  <si>
    <t xml:space="preserve">SAPPA BHAVANI </t>
  </si>
  <si>
    <t xml:space="preserve">SUNDARANEEDI AKSHAYA TULASI </t>
  </si>
  <si>
    <t xml:space="preserve">SUNKARA HARI SAI DURGA VIJAYA LAKSHMI </t>
  </si>
  <si>
    <t xml:space="preserve">SURAMPUDI LEELA SUREKHA </t>
  </si>
  <si>
    <t xml:space="preserve">TEKUMUDI NAGA ANUSHA </t>
  </si>
  <si>
    <t>THOLUM DEEPIKA</t>
  </si>
  <si>
    <t xml:space="preserve">VADAPARTHI ATCHUTHA </t>
  </si>
  <si>
    <t xml:space="preserve">VARADI ANAND KUMAR </t>
  </si>
  <si>
    <t xml:space="preserve">VELUGULA VEERA SRUJANA </t>
  </si>
  <si>
    <t xml:space="preserve">YENAPU VEERA SANTOSH JASWANTH </t>
  </si>
  <si>
    <t xml:space="preserve">AKULA SURYA CHANDRA NAVYA </t>
  </si>
  <si>
    <t xml:space="preserve">ANUSURI VENKATA KALYANI </t>
  </si>
  <si>
    <t xml:space="preserve">AYYANKI SURYA SIDHU </t>
  </si>
  <si>
    <t xml:space="preserve">BARRE MANISHA </t>
  </si>
  <si>
    <t xml:space="preserve">BODAPUDI CHAKRA GANESH </t>
  </si>
  <si>
    <t xml:space="preserve">DASARI YASWANTH RAJ KUMAR </t>
  </si>
  <si>
    <t xml:space="preserve">DODDI TEJASWINI </t>
  </si>
  <si>
    <t xml:space="preserve">GOVINDALAPUDI S P G MAHALAKSHMI </t>
  </si>
  <si>
    <t xml:space="preserve">GUNDA AKSHAYA </t>
  </si>
  <si>
    <t xml:space="preserve">GUNTA BHAVANA </t>
  </si>
  <si>
    <t xml:space="preserve">INJARAPU DEEPAK DORA </t>
  </si>
  <si>
    <t xml:space="preserve">KAKARA LALITHA DEVI </t>
  </si>
  <si>
    <t xml:space="preserve">KANAGALLA SAI DEEPTHIKA </t>
  </si>
  <si>
    <t xml:space="preserve">KARRI DEVI SRI </t>
  </si>
  <si>
    <t xml:space="preserve">KARRI PURUHOTHIKA </t>
  </si>
  <si>
    <t xml:space="preserve">KARRI SAMYUL RAJU </t>
  </si>
  <si>
    <t xml:space="preserve">KASI PRAKSHANJALI </t>
  </si>
  <si>
    <t xml:space="preserve">KONDEPUDI HARIKA ANGEL </t>
  </si>
  <si>
    <t xml:space="preserve">KOYYA GAYATHRI DEVI </t>
  </si>
  <si>
    <t xml:space="preserve">MADEM YERNITHALLI </t>
  </si>
  <si>
    <t xml:space="preserve">MAKIREDDY BHARGAVI </t>
  </si>
  <si>
    <t xml:space="preserve">MALLA POOJITHA </t>
  </si>
  <si>
    <t xml:space="preserve">MALLELA HARINI AMRUTHA SAI SRI </t>
  </si>
  <si>
    <t xml:space="preserve">MANDAPATI HEMANTH JAYA RAGHAVA </t>
  </si>
  <si>
    <t xml:space="preserve">MOHAMMAD AMEERUDDIN </t>
  </si>
  <si>
    <t xml:space="preserve">MOHAMMAD AYESHA FATHIMUNNISA BEGUM </t>
  </si>
  <si>
    <t xml:space="preserve">MUMMIDI VENKATA JYOTHI </t>
  </si>
  <si>
    <t>NAFEESAH KHAIRUN SYED</t>
  </si>
  <si>
    <t xml:space="preserve">NAGULAPALLI ISHWARYAMBICA </t>
  </si>
  <si>
    <t xml:space="preserve">NELLIPUDI LEELA LAKSHMIDURGA DEVI </t>
  </si>
  <si>
    <t xml:space="preserve">NEMALA SRI SATHYA RAAJINI </t>
  </si>
  <si>
    <t xml:space="preserve">PENKEY BHARGAV </t>
  </si>
  <si>
    <t xml:space="preserve">PINAPOTHU KALYAN RAJU </t>
  </si>
  <si>
    <t xml:space="preserve">PONTURI YASASWINI MADHURI </t>
  </si>
  <si>
    <t xml:space="preserve">PULIDINDI SRIRAM </t>
  </si>
  <si>
    <t xml:space="preserve">PUNYAMANTHULA AYYAPPA SATYA PRASAD </t>
  </si>
  <si>
    <t xml:space="preserve">REKADI SANTHOSH </t>
  </si>
  <si>
    <t xml:space="preserve">SABBAVARAPU RAGHUNADH </t>
  </si>
  <si>
    <t xml:space="preserve">SHAIK AHMED ALISHA </t>
  </si>
  <si>
    <t xml:space="preserve">SHAIK AHMEDUNNISA </t>
  </si>
  <si>
    <t xml:space="preserve">SIRRA BHARATH </t>
  </si>
  <si>
    <t>SONALI SARKAR</t>
  </si>
  <si>
    <t xml:space="preserve">VEMANA JAYA DATTA </t>
  </si>
  <si>
    <t xml:space="preserve">YERUSU VEERA LAKSHMI POOJITHA </t>
  </si>
  <si>
    <t xml:space="preserve">MAGADZA TAKUNDA NOKUTENDA </t>
  </si>
  <si>
    <t>MATHEMATICAL  FOUNDATION FOR AI</t>
  </si>
  <si>
    <t xml:space="preserve">ADABALA ADI RAMA DURGA </t>
  </si>
  <si>
    <t xml:space="preserve">ADIGARLA DEVI MANOJNA </t>
  </si>
  <si>
    <t xml:space="preserve">ALLA APARNA </t>
  </si>
  <si>
    <t xml:space="preserve">ALLIBOYINA NAVYA SRI </t>
  </si>
  <si>
    <t xml:space="preserve">ANUSURI NAVYA SRI </t>
  </si>
  <si>
    <t xml:space="preserve">ARAVA SRI NAGA RAJITHA </t>
  </si>
  <si>
    <t xml:space="preserve">ATHKURI NIKHIL </t>
  </si>
  <si>
    <t xml:space="preserve">ATLA RAMTULASI </t>
  </si>
  <si>
    <t xml:space="preserve">BASWA GANGA SRIDEVI </t>
  </si>
  <si>
    <t xml:space="preserve">BATHULA VIJAYA LAKSHMI </t>
  </si>
  <si>
    <t xml:space="preserve">BIRADHA SAI ADI LAKSHMI DEVISRI </t>
  </si>
  <si>
    <t xml:space="preserve">BOMMIDI VENKATA DEEPIKA </t>
  </si>
  <si>
    <t xml:space="preserve">BORRA VISHALA </t>
  </si>
  <si>
    <t xml:space="preserve">BURELA VISHNU BABU </t>
  </si>
  <si>
    <t xml:space="preserve">CHINNI DURGA SHANKAR </t>
  </si>
  <si>
    <t xml:space="preserve">CHINTHALAPUDI VEERA VENKATA LOVA JAGADEESH </t>
  </si>
  <si>
    <t xml:space="preserve">CHINTHAPALLI SATYA SASI REKHA </t>
  </si>
  <si>
    <t xml:space="preserve">CHIPITI VENKATA LAKSHMI </t>
  </si>
  <si>
    <t xml:space="preserve">CHITTURI JYOTHI MALLIKA DEVI </t>
  </si>
  <si>
    <t xml:space="preserve">CHODIPILLI SRINU </t>
  </si>
  <si>
    <t xml:space="preserve">CHODISETTI DURGA SAI CHAKRI </t>
  </si>
  <si>
    <t xml:space="preserve">DANGETI ANUSHA </t>
  </si>
  <si>
    <t xml:space="preserve">DULLA PARDHU </t>
  </si>
  <si>
    <t xml:space="preserve">DWARAMPUDI JAHNAVI SAI DEVI </t>
  </si>
  <si>
    <t xml:space="preserve">ESARAPU VIJAYA BHARGAVI </t>
  </si>
  <si>
    <t xml:space="preserve">GANDHAM BHAVANA VEERA VENKATA LAKSHMI </t>
  </si>
  <si>
    <t xml:space="preserve">GANISETTI APARNA </t>
  </si>
  <si>
    <t xml:space="preserve">GANJA SURYA SRI SATYA TEJASWINI </t>
  </si>
  <si>
    <t xml:space="preserve">GARIKINA DEVIKA </t>
  </si>
  <si>
    <t xml:space="preserve">GEDDAM BHARGAVI SRAVYA </t>
  </si>
  <si>
    <t xml:space="preserve">GODUGULA TARUNA SRI </t>
  </si>
  <si>
    <t xml:space="preserve">GONDESI BHANU VENKATA MANIKANTA </t>
  </si>
  <si>
    <t xml:space="preserve">GORLU MOUNIKA </t>
  </si>
  <si>
    <t xml:space="preserve">INDUGAPALLI SAMPATH KUMAR </t>
  </si>
  <si>
    <t xml:space="preserve">JALDHANI SWARNA LAKSHMI SRI </t>
  </si>
  <si>
    <t xml:space="preserve">JALLIGAMPALA ANJALI </t>
  </si>
  <si>
    <t xml:space="preserve">JANUMAHAMTHI NIKHIL NETRA </t>
  </si>
  <si>
    <t xml:space="preserve">JOGA NAGA PRAVALLIKA </t>
  </si>
  <si>
    <t xml:space="preserve">KADARI DURGA PAVAN KUMAR </t>
  </si>
  <si>
    <t xml:space="preserve">KAKI DURGA RAMA TULASI </t>
  </si>
  <si>
    <t xml:space="preserve">KALLA VILAS </t>
  </si>
  <si>
    <t xml:space="preserve">KAMBALA PRASANNA SAI SRI SRUJANA </t>
  </si>
  <si>
    <t xml:space="preserve">KARLACHARLA SRI VAISHNAVI </t>
  </si>
  <si>
    <t xml:space="preserve">KARRI DURGA BHAVANI </t>
  </si>
  <si>
    <t xml:space="preserve">KARRI GEETIKA LAKSHMI </t>
  </si>
  <si>
    <t xml:space="preserve">KARRI SATYA SRI </t>
  </si>
  <si>
    <t xml:space="preserve">KASI SATHVIK </t>
  </si>
  <si>
    <t xml:space="preserve">KETHA HARI CHANDANA </t>
  </si>
  <si>
    <t xml:space="preserve">KILADI VALLI PUSHPA </t>
  </si>
  <si>
    <t xml:space="preserve">KOLAGANI SURYA PUJITHA </t>
  </si>
  <si>
    <t>KOMALLAPALLI SRI SATYA SAI VARA PRASAD</t>
  </si>
  <si>
    <t xml:space="preserve">KOMMIREDDY GEETHA GAYATHRI </t>
  </si>
  <si>
    <t xml:space="preserve">KOPANATHI KAMESH </t>
  </si>
  <si>
    <t xml:space="preserve">KOSURI JAHNAVI SRI MANI MANJARI </t>
  </si>
  <si>
    <t xml:space="preserve">KOYYA TEJA NOOKESH </t>
  </si>
  <si>
    <t xml:space="preserve">KROSURU MOHAN NAND </t>
  </si>
  <si>
    <t xml:space="preserve">LOKAREDDY VYSHNAVI </t>
  </si>
  <si>
    <t xml:space="preserve">MADDALA VIJAYAKAR </t>
  </si>
  <si>
    <t xml:space="preserve">MALLADI MOHAN KRISHNA </t>
  </si>
  <si>
    <t xml:space="preserve">MANDARAPU PURNA YASWANTH </t>
  </si>
  <si>
    <t xml:space="preserve">MANEPALLI PRATHIBHA </t>
  </si>
  <si>
    <t xml:space="preserve">MARISETTI SREE ANJANEYA </t>
  </si>
  <si>
    <t xml:space="preserve">MATTA JAYA CHANDRA SAI VARA PRASAD </t>
  </si>
  <si>
    <t xml:space="preserve">MERNEEDI HEMA SOWJANA </t>
  </si>
  <si>
    <t xml:space="preserve">MOHAMMAD GOUSE MOHEUDDIN </t>
  </si>
  <si>
    <t xml:space="preserve">MORUKURTHI TEJA SRI </t>
  </si>
  <si>
    <t xml:space="preserve">MOSA ABHISHEK </t>
  </si>
  <si>
    <t xml:space="preserve">MYLAPALLI APPALA KONDA </t>
  </si>
  <si>
    <t xml:space="preserve">NAGUMALLI SAI NAGENDRA HARA NARAYANA BALAJI </t>
  </si>
  <si>
    <t xml:space="preserve">NALLA GANGA BHAVANI </t>
  </si>
  <si>
    <t xml:space="preserve">NALLA NAVEEN </t>
  </si>
  <si>
    <t xml:space="preserve">NANDIKOLLA AJAY </t>
  </si>
  <si>
    <t xml:space="preserve">NARALA MOUNI KRISHNA </t>
  </si>
  <si>
    <t xml:space="preserve">NEMMADI SAI SOWMYA </t>
  </si>
  <si>
    <t xml:space="preserve">OLETI JYOTHI </t>
  </si>
  <si>
    <t xml:space="preserve">ORUGANTI VAMSI KRISHNA </t>
  </si>
  <si>
    <t xml:space="preserve">PAKA JOHN CHRISTOPHER </t>
  </si>
  <si>
    <t xml:space="preserve">PALLELA DATTA BALA GOVIND BABU </t>
  </si>
  <si>
    <t xml:space="preserve">PASHALA SRIVIDYA </t>
  </si>
  <si>
    <t xml:space="preserve">PEDIREDLA JAI VENKATESH </t>
  </si>
  <si>
    <t xml:space="preserve">PEMMANABOIDI VEERA DURGA </t>
  </si>
  <si>
    <t xml:space="preserve">PENDYALA LEELA MADHAV YASWANTH </t>
  </si>
  <si>
    <t xml:space="preserve">PITHANI CHANDRIKA </t>
  </si>
  <si>
    <t xml:space="preserve">PITHANI SRAVANI RAJI </t>
  </si>
  <si>
    <t xml:space="preserve">PONNAMANDA LALITHA </t>
  </si>
  <si>
    <t xml:space="preserve">POTHALA JAYANTHI </t>
  </si>
  <si>
    <t xml:space="preserve">PUNYAMANTHULA V V MANASA SIVA DEVI </t>
  </si>
  <si>
    <t xml:space="preserve">RACHAKONDA VINAY SIDDHARTHA </t>
  </si>
  <si>
    <t xml:space="preserve">REDDY POOJADEVI </t>
  </si>
  <si>
    <t xml:space="preserve">REKADI KARTHIK </t>
  </si>
  <si>
    <t xml:space="preserve">SADANALA DHAYASAGAR </t>
  </si>
  <si>
    <t xml:space="preserve">SAKETI KIRANMAYI </t>
  </si>
  <si>
    <t xml:space="preserve">SIMHADRI SOMA SEKHAR </t>
  </si>
  <si>
    <t xml:space="preserve">SOMAROUTHU ARJUN </t>
  </si>
  <si>
    <t xml:space="preserve">SUDARSANAM NIKHILA SRI SAI ANUSHA </t>
  </si>
  <si>
    <t xml:space="preserve">SUNDARAPALLI SETHU KRISHNA MOHAN MEHAR </t>
  </si>
  <si>
    <t>TANGUDU SANTOSH</t>
  </si>
  <si>
    <t xml:space="preserve">TEKU ROSHINI ISWARYA AMBIKA DEVI </t>
  </si>
  <si>
    <t xml:space="preserve">THOTA SANDHYANA </t>
  </si>
  <si>
    <t xml:space="preserve">VADAPALLI SRI RANGA SAHITYA </t>
  </si>
  <si>
    <t xml:space="preserve">VADDI ANIL KUMAR </t>
  </si>
  <si>
    <t xml:space="preserve">VAIDADI SUBHASH VARMA </t>
  </si>
  <si>
    <t xml:space="preserve">VALLABHU NIKHILA LOKA KALYANI </t>
  </si>
  <si>
    <t xml:space="preserve">VANAPALLI PREM KUMAR </t>
  </si>
  <si>
    <t xml:space="preserve">VEERAMALLA SURYA JANANI </t>
  </si>
  <si>
    <t xml:space="preserve">VENTAPALLI VAMSI </t>
  </si>
  <si>
    <t xml:space="preserve">YADALA SIMHADRI </t>
  </si>
  <si>
    <t xml:space="preserve">YADAV CHANIKYA </t>
  </si>
  <si>
    <t xml:space="preserve">ADIREDDY BALAJI </t>
  </si>
  <si>
    <t xml:space="preserve">AKULA GAYATRI VIJAYA MANI CHANDRIKA </t>
  </si>
  <si>
    <t xml:space="preserve">ALLADA TRINADH </t>
  </si>
  <si>
    <t xml:space="preserve">ANTHARAJU LAXMI BABU </t>
  </si>
  <si>
    <t xml:space="preserve">BODDU MAHA VEERA VENKATA SATYA PRASAD </t>
  </si>
  <si>
    <t xml:space="preserve">BONDA PAVAN KUMAR </t>
  </si>
  <si>
    <t xml:space="preserve">CHINNIPILLI LAKSHMI SRI AKASH </t>
  </si>
  <si>
    <t xml:space="preserve">CHINTA VENU SRI </t>
  </si>
  <si>
    <t xml:space="preserve">CHINTAKRINDA LAKSHMIKALA </t>
  </si>
  <si>
    <t xml:space="preserve">CHINTHAKULA MEGHANA </t>
  </si>
  <si>
    <t xml:space="preserve">CHITEKELA VEERA VENKATA SAI NOOKARAJU </t>
  </si>
  <si>
    <t xml:space="preserve">CHOKKA PRABHU KIRAN </t>
  </si>
  <si>
    <t xml:space="preserve">DARLAPUDI SRI SAHITHI </t>
  </si>
  <si>
    <t xml:space="preserve">DAVULURI POOJA VEERA SATYA SHALINI </t>
  </si>
  <si>
    <t xml:space="preserve">DHULIPUDI PURNA CHAKRA TEJA SRI </t>
  </si>
  <si>
    <t xml:space="preserve">GONIGINTHALA MOHAN SRI KRISHNA </t>
  </si>
  <si>
    <t xml:space="preserve">GONTHIREDDY DURGA JYOTHI </t>
  </si>
  <si>
    <t xml:space="preserve">JAKKAPU PAVANI </t>
  </si>
  <si>
    <t xml:space="preserve">KADALI SAI PRAHATHI </t>
  </si>
  <si>
    <t xml:space="preserve">KALADI DHANUNJAYA </t>
  </si>
  <si>
    <t xml:space="preserve">KARANAM VISHNUVARDHAN </t>
  </si>
  <si>
    <t xml:space="preserve">KARNEEDI INDHUMATHI </t>
  </si>
  <si>
    <t xml:space="preserve">KESARAPU JAGAN </t>
  </si>
  <si>
    <t xml:space="preserve">LANKA VENU GOPALA KRISHNA </t>
  </si>
  <si>
    <t xml:space="preserve">MAHANTHI ADITYA KUMAR </t>
  </si>
  <si>
    <t xml:space="preserve">MATHI JOSH RAM </t>
  </si>
  <si>
    <t xml:space="preserve">MUMMASANI VEERABABU </t>
  </si>
  <si>
    <t xml:space="preserve">MUNGALLA DATTATREYUDU </t>
  </si>
  <si>
    <t xml:space="preserve">NARALA SURESH </t>
  </si>
  <si>
    <t xml:space="preserve">PALIVELA SAI LALITHA </t>
  </si>
  <si>
    <t xml:space="preserve">PALLA LOKESH </t>
  </si>
  <si>
    <t xml:space="preserve">PAPPU SRI VEERA VENKATA MADHAV </t>
  </si>
  <si>
    <t xml:space="preserve">PASUPULETI HEZEKIAH DANNY </t>
  </si>
  <si>
    <t xml:space="preserve">PERUMALLA VYSHNAVI </t>
  </si>
  <si>
    <t xml:space="preserve">PINISETTY EMMANUEL PRADEEP </t>
  </si>
  <si>
    <t xml:space="preserve">REJETI HARI PRANITHA </t>
  </si>
  <si>
    <t xml:space="preserve">SALADI TARUN </t>
  </si>
  <si>
    <t xml:space="preserve">SANGANA SHASHIDHAR </t>
  </si>
  <si>
    <t xml:space="preserve">SATTI JAHNAVI </t>
  </si>
  <si>
    <t xml:space="preserve">SETTI PRAVALIKA </t>
  </si>
  <si>
    <t xml:space="preserve">SINGAM DEEPAK SATYA KRISHNA NAGA SAI </t>
  </si>
  <si>
    <t xml:space="preserve">SINGAVARAPU SRI SAI CHARAN TEJA </t>
  </si>
  <si>
    <t xml:space="preserve">SWAMIREDDY CHAKRA LAKSHMI </t>
  </si>
  <si>
    <t xml:space="preserve">TADIPARTHI RENUKA </t>
  </si>
  <si>
    <t xml:space="preserve">UPPALA VEERA VENKATA SAIKUMARI </t>
  </si>
  <si>
    <t xml:space="preserve">VASAMSETTI SURYA VENKATA SRI MAHALAKSHMI </t>
  </si>
  <si>
    <t xml:space="preserve">YENUGU SAIRAM </t>
  </si>
  <si>
    <t>abs</t>
  </si>
  <si>
    <t>SMP</t>
  </si>
  <si>
    <t>2025 - 26 A.B  I Year I Semester Check List</t>
  </si>
  <si>
    <t>ADITYA DEGREE &amp; P.G COLLEGES (A) :: KAKINADA</t>
  </si>
  <si>
    <t>Serial No:</t>
  </si>
  <si>
    <t>GRADE POINTS</t>
  </si>
  <si>
    <t>NR</t>
  </si>
  <si>
    <t>ENGLISH GRADE
3</t>
  </si>
  <si>
    <t>TELUGU
3</t>
  </si>
  <si>
    <t>INTRODUCTION TO ARTIFICIAL INTELLIGENCE
4</t>
  </si>
  <si>
    <t>BUSINESS ORGANIZATION AND MANAGEMENT
4</t>
  </si>
  <si>
    <t>FUNDAMENTALS OF INFORMATION TECHNOLOGY &amp; OFFICE AUTOMATION
3</t>
  </si>
  <si>
    <t>FUNDAMENTALS OF INFORMATION TECHNOLOGY &amp; OFFICE AUTOMATION  LAB
1</t>
  </si>
  <si>
    <t>RESULT
18</t>
  </si>
  <si>
    <t>POINTS</t>
  </si>
  <si>
    <t>TOTAL GRADE POINTS</t>
  </si>
  <si>
    <t>F</t>
  </si>
  <si>
    <t>APPLICATIONS OF ARTIFICIAL INTELLIGENCE</t>
  </si>
  <si>
    <t>DATA STRUCTURES USING C</t>
  </si>
  <si>
    <t>DATA STRUCTURES USING C - LAB</t>
  </si>
  <si>
    <t>DIGITAL LOGIC DESIGN</t>
  </si>
  <si>
    <t>DIGITAL LOGIC DESIGN - LAB</t>
  </si>
  <si>
    <t>INTRODUCTION TO SOCIAL WORK</t>
  </si>
  <si>
    <t>COMMUNITY SERVICE PROJECT</t>
  </si>
  <si>
    <t>INDIAN KNOWLEDGE SYSTSM</t>
  </si>
  <si>
    <t xml:space="preserve">ABBIREDDY SAKHIYA DEVI </t>
  </si>
  <si>
    <t>NAME</t>
  </si>
  <si>
    <t>T / F</t>
  </si>
  <si>
    <t xml:space="preserve">AKULA AKSHAYA KUMAR </t>
  </si>
  <si>
    <t>CHUNDRU LAKSHMI GANGADHARARAO</t>
  </si>
  <si>
    <t>KARRI VEERA GANGA SAI</t>
  </si>
  <si>
    <t>KASIMDEVI YAJNA CHANDRAKALA</t>
  </si>
  <si>
    <t>KOTILINKA SATYA ATCHANNA</t>
  </si>
  <si>
    <t>YERUPALLI SATYA</t>
  </si>
  <si>
    <t xml:space="preserve">BONTHU GAYATHRI </t>
  </si>
</sst>
</file>

<file path=xl/styles.xml><?xml version="1.0" encoding="utf-8"?>
<styleSheet xmlns="http://schemas.openxmlformats.org/spreadsheetml/2006/main">
  <fonts count="16">
    <font>
      <sz val="11"/>
      <color theme="1"/>
      <name val="Calibri"/>
      <family val="2"/>
      <scheme val="minor"/>
    </font>
    <font>
      <b/>
      <sz val="11"/>
      <name val="Book Antiqua"/>
      <family val="1"/>
    </font>
    <font>
      <b/>
      <sz val="12"/>
      <color theme="1"/>
      <name val="Book Antiqua"/>
      <family val="1"/>
    </font>
    <font>
      <b/>
      <sz val="11"/>
      <color theme="1"/>
      <name val="Book Antiqua"/>
      <family val="1"/>
    </font>
    <font>
      <b/>
      <sz val="14"/>
      <color theme="1"/>
      <name val="Book Antiqua"/>
      <family val="1"/>
    </font>
    <font>
      <b/>
      <sz val="20"/>
      <color theme="1"/>
      <name val="Book Antiqua"/>
      <family val="1"/>
    </font>
    <font>
      <b/>
      <sz val="10"/>
      <name val="Book Antiqua"/>
      <family val="1"/>
    </font>
    <font>
      <sz val="10"/>
      <color theme="1"/>
      <name val="Calibri"/>
      <family val="2"/>
      <scheme val="minor"/>
    </font>
    <font>
      <b/>
      <sz val="18"/>
      <name val="Book Antiqua"/>
      <family val="1"/>
    </font>
    <font>
      <b/>
      <sz val="10.5"/>
      <name val="Maiandra GD"/>
      <family val="2"/>
    </font>
    <font>
      <b/>
      <sz val="12"/>
      <name val="Maiandra GD"/>
      <family val="2"/>
    </font>
    <font>
      <b/>
      <sz val="10"/>
      <name val="Maiandra GD"/>
      <family val="2"/>
    </font>
    <font>
      <b/>
      <sz val="12"/>
      <color theme="1"/>
      <name val="Maiandra GD"/>
      <family val="2"/>
    </font>
    <font>
      <b/>
      <sz val="11"/>
      <color theme="1"/>
      <name val="Maiandra GD"/>
      <family val="2"/>
    </font>
    <font>
      <b/>
      <sz val="24"/>
      <color theme="1"/>
      <name val="Book Antiqua"/>
      <family val="1"/>
    </font>
    <font>
      <b/>
      <sz val="13"/>
      <color theme="1"/>
      <name val="Book Antiqua"/>
      <family val="1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2" borderId="1" xfId="0" applyNumberFormat="1" applyFont="1" applyFill="1" applyBorder="1" applyAlignment="1">
      <alignment horizontal="center" vertical="center" wrapText="1"/>
    </xf>
    <xf numFmtId="0" fontId="2" fillId="0" borderId="1" xfId="0" applyNumberFormat="1" applyFont="1" applyFill="1" applyBorder="1" applyAlignment="1">
      <alignment horizontal="center" vertical="center" wrapText="1"/>
    </xf>
    <xf numFmtId="0" fontId="4" fillId="0" borderId="1" xfId="0" applyNumberFormat="1" applyFont="1" applyFill="1" applyBorder="1" applyAlignment="1">
      <alignment horizontal="center" vertical="center" wrapText="1"/>
    </xf>
    <xf numFmtId="2" fontId="5" fillId="0" borderId="1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2" fontId="0" fillId="0" borderId="0" xfId="0" applyNumberFormat="1" applyAlignment="1">
      <alignment wrapText="1"/>
    </xf>
    <xf numFmtId="0" fontId="7" fillId="0" borderId="0" xfId="0" applyFont="1" applyAlignment="1">
      <alignment wrapText="1"/>
    </xf>
    <xf numFmtId="0" fontId="0" fillId="0" borderId="0" xfId="0" applyAlignment="1">
      <alignment horizontal="center" wrapText="1"/>
    </xf>
    <xf numFmtId="0" fontId="8" fillId="2" borderId="1" xfId="0" applyNumberFormat="1" applyFont="1" applyFill="1" applyBorder="1" applyAlignment="1">
      <alignment horizontal="center" vertical="center" wrapText="1"/>
    </xf>
    <xf numFmtId="0" fontId="5" fillId="0" borderId="1" xfId="0" applyNumberFormat="1" applyFont="1" applyFill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 wrapText="1"/>
    </xf>
    <xf numFmtId="0" fontId="9" fillId="0" borderId="1" xfId="0" applyNumberFormat="1" applyFont="1" applyBorder="1" applyAlignment="1">
      <alignment horizontal="left" vertical="center" wrapText="1"/>
    </xf>
    <xf numFmtId="0" fontId="3" fillId="0" borderId="1" xfId="0" applyNumberFormat="1" applyFont="1" applyFill="1" applyBorder="1"/>
    <xf numFmtId="1" fontId="11" fillId="0" borderId="1" xfId="0" applyNumberFormat="1" applyFont="1" applyBorder="1" applyAlignment="1">
      <alignment horizontal="center" vertical="center" wrapText="1"/>
    </xf>
    <xf numFmtId="0" fontId="4" fillId="0" borderId="1" xfId="0" applyNumberFormat="1" applyFont="1" applyFill="1" applyBorder="1" applyAlignment="1">
      <alignment horizontal="center" vertical="center"/>
    </xf>
    <xf numFmtId="1" fontId="10" fillId="0" borderId="1" xfId="0" applyNumberFormat="1" applyFont="1" applyFill="1" applyBorder="1" applyAlignment="1">
      <alignment horizontal="center" vertical="center" wrapText="1"/>
    </xf>
    <xf numFmtId="0" fontId="9" fillId="0" borderId="1" xfId="0" applyNumberFormat="1" applyFont="1" applyFill="1" applyBorder="1" applyAlignment="1">
      <alignment horizontal="left" vertical="center" wrapText="1"/>
    </xf>
    <xf numFmtId="1" fontId="11" fillId="0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 wrapText="1"/>
    </xf>
    <xf numFmtId="0" fontId="2" fillId="3" borderId="1" xfId="0" applyNumberFormat="1" applyFont="1" applyFill="1" applyBorder="1" applyAlignment="1">
      <alignment horizontal="center" vertical="center" wrapText="1"/>
    </xf>
    <xf numFmtId="1" fontId="10" fillId="3" borderId="1" xfId="0" applyNumberFormat="1" applyFont="1" applyFill="1" applyBorder="1" applyAlignment="1">
      <alignment horizontal="center" vertical="center" wrapText="1"/>
    </xf>
    <xf numFmtId="1" fontId="12" fillId="3" borderId="1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left" vertical="center" wrapText="1"/>
    </xf>
    <xf numFmtId="1" fontId="11" fillId="3" borderId="1" xfId="0" applyNumberFormat="1" applyFont="1" applyFill="1" applyBorder="1" applyAlignment="1">
      <alignment horizontal="center" vertical="center" wrapText="1"/>
    </xf>
    <xf numFmtId="0" fontId="4" fillId="3" borderId="1" xfId="0" applyNumberFormat="1" applyFont="1" applyFill="1" applyBorder="1" applyAlignment="1">
      <alignment horizontal="center" vertical="center"/>
    </xf>
    <xf numFmtId="0" fontId="5" fillId="3" borderId="1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 wrapText="1"/>
    </xf>
    <xf numFmtId="0" fontId="14" fillId="0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2" borderId="2" xfId="0" applyNumberFormat="1" applyFont="1" applyFill="1" applyBorder="1" applyAlignment="1">
      <alignment horizontal="center" vertical="center" wrapText="1"/>
    </xf>
    <xf numFmtId="0" fontId="6" fillId="2" borderId="3" xfId="0" applyNumberFormat="1" applyFont="1" applyFill="1" applyBorder="1" applyAlignment="1">
      <alignment horizontal="center" vertical="center" wrapText="1"/>
    </xf>
    <xf numFmtId="0" fontId="15" fillId="0" borderId="0" xfId="0" applyFont="1" applyFill="1" applyAlignment="1">
      <alignment horizontal="center" vertical="center" wrapText="1"/>
    </xf>
    <xf numFmtId="0" fontId="6" fillId="2" borderId="2" xfId="0" applyNumberFormat="1" applyFont="1" applyFill="1" applyBorder="1" applyAlignment="1">
      <alignment horizontal="center" vertical="center" wrapText="1"/>
    </xf>
    <xf numFmtId="2" fontId="1" fillId="2" borderId="2" xfId="0" applyNumberFormat="1" applyFont="1" applyFill="1" applyBorder="1" applyAlignment="1">
      <alignment horizontal="center" vertical="center" wrapText="1"/>
    </xf>
    <xf numFmtId="0" fontId="6" fillId="2" borderId="2" xfId="0" applyNumberFormat="1" applyFont="1" applyFill="1" applyBorder="1" applyAlignment="1">
      <alignment horizontal="center" vertical="center" wrapText="1"/>
    </xf>
    <xf numFmtId="0" fontId="6" fillId="2" borderId="3" xfId="0" applyNumberFormat="1" applyFont="1" applyFill="1" applyBorder="1" applyAlignment="1">
      <alignment horizontal="center" vertical="center" wrapText="1"/>
    </xf>
    <xf numFmtId="0" fontId="6" fillId="2" borderId="2" xfId="0" applyNumberFormat="1" applyFont="1" applyFill="1" applyBorder="1" applyAlignment="1">
      <alignment horizontal="center" vertical="center" wrapText="1"/>
    </xf>
    <xf numFmtId="0" fontId="6" fillId="2" borderId="3" xfId="0" applyNumberFormat="1" applyFont="1" applyFill="1" applyBorder="1" applyAlignment="1">
      <alignment horizontal="center" vertical="center" wrapText="1"/>
    </xf>
    <xf numFmtId="0" fontId="6" fillId="2" borderId="2" xfId="0" applyNumberFormat="1" applyFont="1" applyFill="1" applyBorder="1" applyAlignment="1">
      <alignment horizontal="center" vertical="center" wrapText="1"/>
    </xf>
    <xf numFmtId="0" fontId="6" fillId="2" borderId="3" xfId="0" applyNumberFormat="1" applyFont="1" applyFill="1" applyBorder="1" applyAlignment="1">
      <alignment horizontal="center" vertical="center" wrapText="1"/>
    </xf>
    <xf numFmtId="0" fontId="6" fillId="2" borderId="2" xfId="0" applyNumberFormat="1" applyFont="1" applyFill="1" applyBorder="1" applyAlignment="1">
      <alignment horizontal="center" vertical="center" wrapText="1"/>
    </xf>
    <xf numFmtId="0" fontId="6" fillId="2" borderId="3" xfId="0" applyNumberFormat="1" applyFont="1" applyFill="1" applyBorder="1" applyAlignment="1">
      <alignment horizontal="center" vertical="center" wrapText="1"/>
    </xf>
    <xf numFmtId="0" fontId="3" fillId="3" borderId="1" xfId="0" applyNumberFormat="1" applyFont="1" applyFill="1" applyBorder="1" applyAlignment="1">
      <alignment horizontal="center" vertical="center"/>
    </xf>
    <xf numFmtId="0" fontId="6" fillId="2" borderId="2" xfId="0" applyNumberFormat="1" applyFont="1" applyFill="1" applyBorder="1" applyAlignment="1">
      <alignment horizontal="center" vertical="center" wrapText="1"/>
    </xf>
    <xf numFmtId="0" fontId="6" fillId="2" borderId="3" xfId="0" applyNumberFormat="1" applyFont="1" applyFill="1" applyBorder="1" applyAlignment="1">
      <alignment horizontal="center" vertical="center" wrapText="1"/>
    </xf>
    <xf numFmtId="0" fontId="6" fillId="2" borderId="2" xfId="0" applyNumberFormat="1" applyFont="1" applyFill="1" applyBorder="1" applyAlignment="1">
      <alignment horizontal="center" vertical="center" wrapText="1"/>
    </xf>
    <xf numFmtId="0" fontId="6" fillId="2" borderId="3" xfId="0" applyNumberFormat="1" applyFont="1" applyFill="1" applyBorder="1" applyAlignment="1">
      <alignment horizontal="center" vertical="center" wrapText="1"/>
    </xf>
    <xf numFmtId="0" fontId="6" fillId="2" borderId="2" xfId="0" applyNumberFormat="1" applyFont="1" applyFill="1" applyBorder="1" applyAlignment="1">
      <alignment horizontal="center" vertical="center" wrapText="1"/>
    </xf>
    <xf numFmtId="0" fontId="6" fillId="2" borderId="3" xfId="0" applyNumberFormat="1" applyFont="1" applyFill="1" applyBorder="1" applyAlignment="1">
      <alignment horizontal="center" vertical="center" wrapText="1"/>
    </xf>
    <xf numFmtId="0" fontId="6" fillId="2" borderId="2" xfId="0" applyNumberFormat="1" applyFont="1" applyFill="1" applyBorder="1" applyAlignment="1">
      <alignment horizontal="center" vertical="center" wrapText="1"/>
    </xf>
    <xf numFmtId="0" fontId="6" fillId="2" borderId="3" xfId="0" applyNumberFormat="1" applyFont="1" applyFill="1" applyBorder="1" applyAlignment="1">
      <alignment horizontal="center" vertical="center" wrapText="1"/>
    </xf>
    <xf numFmtId="2" fontId="1" fillId="2" borderId="2" xfId="0" applyNumberFormat="1" applyFont="1" applyFill="1" applyBorder="1" applyAlignment="1">
      <alignment horizontal="center" vertical="center" wrapText="1"/>
    </xf>
    <xf numFmtId="2" fontId="1" fillId="2" borderId="3" xfId="0" applyNumberFormat="1" applyFont="1" applyFill="1" applyBorder="1" applyAlignment="1">
      <alignment horizontal="center" vertical="center" wrapText="1"/>
    </xf>
    <xf numFmtId="0" fontId="5" fillId="0" borderId="4" xfId="0" applyNumberFormat="1" applyFont="1" applyFill="1" applyBorder="1" applyAlignment="1">
      <alignment horizontal="center" vertical="center" wrapText="1"/>
    </xf>
    <xf numFmtId="0" fontId="14" fillId="0" borderId="0" xfId="0" applyNumberFormat="1" applyFont="1" applyFill="1" applyBorder="1" applyAlignment="1">
      <alignment horizontal="center" vertical="center" wrapText="1"/>
    </xf>
    <xf numFmtId="0" fontId="5" fillId="0" borderId="0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0" fontId="6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RAVI%20DATA/RAVI%20DATA%20STARTING%2004.02.2021/CSN%20SIR/Autonomous%20Notification%20&amp;%20Circulars%2026.11.2024/Autonomous%20Notification%20&amp;%20Circulars%2026.11.2024/III%20SEMESTER/DEGREE/STUDENTS%20NAMES%20CHECKING%20PURPOSE-25AB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1 (2)"/>
      <sheetName val="Sheet2"/>
      <sheetName val="Sheet3"/>
      <sheetName val="Sheet4"/>
      <sheetName val="Sheet5"/>
    </sheetNames>
    <sheetDataSet>
      <sheetData sheetId="0"/>
      <sheetData sheetId="1">
        <row r="1">
          <cell r="C1" t="str">
            <v>HALL TICKET</v>
          </cell>
          <cell r="D1" t="str">
            <v>STUDENT NAME AS PER SSC</v>
          </cell>
        </row>
        <row r="2">
          <cell r="C2">
            <v>250371553004</v>
          </cell>
          <cell r="D2" t="str">
            <v xml:space="preserve">AKULA GAYATRI VIJAYA MANI CHANDRIKA </v>
          </cell>
        </row>
        <row r="3">
          <cell r="C3">
            <v>250371553005</v>
          </cell>
          <cell r="D3" t="str">
            <v xml:space="preserve">ALLA APARNA </v>
          </cell>
        </row>
        <row r="4">
          <cell r="C4">
            <v>250371553007</v>
          </cell>
          <cell r="D4" t="str">
            <v xml:space="preserve">ALLIBOYINA NAVYA SRI </v>
          </cell>
        </row>
        <row r="5">
          <cell r="C5">
            <v>250371553008</v>
          </cell>
          <cell r="D5" t="str">
            <v xml:space="preserve">ANTHARAJU LAXMI BABU </v>
          </cell>
        </row>
        <row r="6">
          <cell r="C6">
            <v>250371553009</v>
          </cell>
          <cell r="D6" t="str">
            <v xml:space="preserve">ANUSURI NAVYA SRI </v>
          </cell>
        </row>
        <row r="7">
          <cell r="C7">
            <v>250371553010</v>
          </cell>
          <cell r="D7" t="str">
            <v xml:space="preserve">ARAVA SRI NAGA RAJITHA </v>
          </cell>
        </row>
        <row r="8">
          <cell r="C8">
            <v>250371553011</v>
          </cell>
          <cell r="D8" t="str">
            <v xml:space="preserve">ATHKURI NIKHIL </v>
          </cell>
        </row>
        <row r="9">
          <cell r="C9">
            <v>250371553012</v>
          </cell>
          <cell r="D9" t="str">
            <v xml:space="preserve">ATLA RAMTULASI </v>
          </cell>
        </row>
        <row r="10">
          <cell r="C10">
            <v>250371553013</v>
          </cell>
          <cell r="D10" t="str">
            <v xml:space="preserve">BASWA GANGA SRIDEVI </v>
          </cell>
        </row>
        <row r="11">
          <cell r="C11">
            <v>250371553015</v>
          </cell>
          <cell r="D11" t="str">
            <v xml:space="preserve">BIRADHA SAI ADI LAKSHMI DEVISRI </v>
          </cell>
        </row>
        <row r="12">
          <cell r="C12">
            <v>250371553020</v>
          </cell>
          <cell r="D12" t="str">
            <v xml:space="preserve">BURELA VISHNU BABU </v>
          </cell>
        </row>
        <row r="13">
          <cell r="C13">
            <v>250371553027</v>
          </cell>
          <cell r="D13" t="str">
            <v xml:space="preserve">CHINTHAPALLI SATYA SASI REKHA </v>
          </cell>
        </row>
        <row r="14">
          <cell r="C14">
            <v>250371553034</v>
          </cell>
          <cell r="D14" t="str">
            <v xml:space="preserve">DANGETI ANUSHA </v>
          </cell>
        </row>
        <row r="15">
          <cell r="C15">
            <v>250371553035</v>
          </cell>
          <cell r="D15" t="str">
            <v xml:space="preserve">DARLAPUDI SRI SAHITHI </v>
          </cell>
        </row>
        <row r="16">
          <cell r="C16">
            <v>250371553040</v>
          </cell>
          <cell r="D16" t="str">
            <v xml:space="preserve">ESARAPU VIJAYA BHARGAVI </v>
          </cell>
        </row>
        <row r="17">
          <cell r="C17">
            <v>250371553041</v>
          </cell>
          <cell r="D17" t="str">
            <v xml:space="preserve">GANDHAM BHAVANA VEERA VENKATA LAKSHMI </v>
          </cell>
        </row>
        <row r="18">
          <cell r="C18">
            <v>250371553045</v>
          </cell>
          <cell r="D18" t="str">
            <v xml:space="preserve">GEDDAM BHARGAVI SRAVYA </v>
          </cell>
        </row>
        <row r="19">
          <cell r="C19">
            <v>250371553046</v>
          </cell>
          <cell r="D19" t="str">
            <v xml:space="preserve">GODUGULA TARUNA SRI </v>
          </cell>
        </row>
        <row r="20">
          <cell r="C20">
            <v>250371553047</v>
          </cell>
          <cell r="D20" t="str">
            <v xml:space="preserve">GONDESI BHANU VENKATA MANIKANTA </v>
          </cell>
        </row>
        <row r="21">
          <cell r="C21">
            <v>250371553050</v>
          </cell>
          <cell r="D21" t="str">
            <v xml:space="preserve">GORLU MOUNIKA </v>
          </cell>
        </row>
        <row r="22">
          <cell r="C22">
            <v>250371553053</v>
          </cell>
          <cell r="D22" t="str">
            <v xml:space="preserve">JALDHANI SWARNA LAKSHMI SRI </v>
          </cell>
        </row>
        <row r="23">
          <cell r="C23">
            <v>250371553057</v>
          </cell>
          <cell r="D23" t="str">
            <v xml:space="preserve">KADALI SAI PRAHATHI </v>
          </cell>
        </row>
        <row r="24">
          <cell r="C24">
            <v>250371553062</v>
          </cell>
          <cell r="D24" t="str">
            <v xml:space="preserve">KAMBALA PRASANNA SAI SRI SRUJANA </v>
          </cell>
        </row>
        <row r="25">
          <cell r="C25">
            <v>250371553065</v>
          </cell>
          <cell r="D25" t="str">
            <v xml:space="preserve">KARNEEDI INDHUMATHI </v>
          </cell>
        </row>
        <row r="26">
          <cell r="C26">
            <v>250371553071</v>
          </cell>
          <cell r="D26" t="str">
            <v xml:space="preserve">KETHA HARI CHANDANA </v>
          </cell>
        </row>
        <row r="27">
          <cell r="C27">
            <v>250371553072</v>
          </cell>
          <cell r="D27" t="str">
            <v xml:space="preserve">KILADI VALLI PUSHPA </v>
          </cell>
        </row>
        <row r="28">
          <cell r="C28">
            <v>250371553073</v>
          </cell>
          <cell r="D28" t="str">
            <v xml:space="preserve">KOLAGANI SURYA PUJITHA </v>
          </cell>
        </row>
        <row r="29">
          <cell r="C29">
            <v>250371553074</v>
          </cell>
          <cell r="D29" t="str">
            <v>KOMALLAPALLI SRI SATYA SAI VARA PRASAD</v>
          </cell>
        </row>
        <row r="30">
          <cell r="C30">
            <v>250371553076</v>
          </cell>
          <cell r="D30" t="str">
            <v xml:space="preserve">KOPANATHI KAMESH </v>
          </cell>
        </row>
        <row r="31">
          <cell r="C31">
            <v>250371553079</v>
          </cell>
          <cell r="D31" t="str">
            <v xml:space="preserve">KROSURU MOHAN NAND </v>
          </cell>
        </row>
        <row r="32">
          <cell r="C32">
            <v>250371553084</v>
          </cell>
          <cell r="D32" t="str">
            <v xml:space="preserve">MALLADI MOHAN KRISHNA </v>
          </cell>
        </row>
        <row r="33">
          <cell r="C33">
            <v>250371553097</v>
          </cell>
          <cell r="D33" t="str">
            <v xml:space="preserve">NAGUMALLI SAI NAGENDRA HARA NARAYANA BALAJI </v>
          </cell>
        </row>
        <row r="34">
          <cell r="C34">
            <v>250371553098</v>
          </cell>
          <cell r="D34" t="str">
            <v xml:space="preserve">NALLA GANGA BHAVANI </v>
          </cell>
        </row>
        <row r="35">
          <cell r="C35">
            <v>250371553104</v>
          </cell>
          <cell r="D35" t="str">
            <v xml:space="preserve">OLETI JYOTHI </v>
          </cell>
        </row>
        <row r="36">
          <cell r="C36">
            <v>250371553106</v>
          </cell>
          <cell r="D36" t="str">
            <v xml:space="preserve">PAKA JOHN CHRISTOPHER </v>
          </cell>
        </row>
        <row r="37">
          <cell r="C37">
            <v>250371553109</v>
          </cell>
          <cell r="D37" t="str">
            <v xml:space="preserve">PALLELA DATTA BALA GOVIND BABU </v>
          </cell>
        </row>
        <row r="38">
          <cell r="C38">
            <v>250371553112</v>
          </cell>
          <cell r="D38" t="str">
            <v xml:space="preserve">PASUPULETI HEZEKIAH DANNY </v>
          </cell>
        </row>
        <row r="39">
          <cell r="C39">
            <v>250371553113</v>
          </cell>
          <cell r="D39" t="str">
            <v xml:space="preserve">PEDIREDLA JAI VENKATESH </v>
          </cell>
        </row>
        <row r="40">
          <cell r="C40">
            <v>250371553114</v>
          </cell>
          <cell r="D40" t="str">
            <v xml:space="preserve">PEMMANABOIDI VEERA DURGA </v>
          </cell>
        </row>
        <row r="41">
          <cell r="C41">
            <v>250371553115</v>
          </cell>
          <cell r="D41" t="str">
            <v xml:space="preserve">PENDYALA LEELA MADHAV YASWANTH </v>
          </cell>
        </row>
        <row r="42">
          <cell r="C42">
            <v>250371553119</v>
          </cell>
          <cell r="D42" t="str">
            <v xml:space="preserve">PITHANI SRAVANI RAJI </v>
          </cell>
        </row>
        <row r="43">
          <cell r="C43">
            <v>250371553123</v>
          </cell>
          <cell r="D43" t="str">
            <v xml:space="preserve">RACHAKONDA VINAY SIDDHARTHA </v>
          </cell>
        </row>
        <row r="44">
          <cell r="C44">
            <v>250371553124</v>
          </cell>
          <cell r="D44" t="str">
            <v xml:space="preserve">REDDY POOJADEVI </v>
          </cell>
        </row>
        <row r="45">
          <cell r="C45">
            <v>250371553127</v>
          </cell>
          <cell r="D45" t="str">
            <v xml:space="preserve">SADANALA DHAYASAGAR </v>
          </cell>
        </row>
        <row r="46">
          <cell r="C46">
            <v>250371553130</v>
          </cell>
          <cell r="D46" t="str">
            <v xml:space="preserve">SANGANA SHASHIDHAR </v>
          </cell>
        </row>
        <row r="47">
          <cell r="C47">
            <v>250371553131</v>
          </cell>
          <cell r="D47" t="str">
            <v xml:space="preserve">SATTI JAHNAVI </v>
          </cell>
        </row>
        <row r="48">
          <cell r="C48">
            <v>250371553133</v>
          </cell>
          <cell r="D48" t="str">
            <v xml:space="preserve">SIMHADRI SOMA SEKHAR </v>
          </cell>
        </row>
        <row r="49">
          <cell r="C49">
            <v>250371553139</v>
          </cell>
          <cell r="D49" t="str">
            <v xml:space="preserve">SWAMIREDDY CHAKRA LAKSHMI </v>
          </cell>
        </row>
        <row r="50">
          <cell r="C50">
            <v>250371553141</v>
          </cell>
          <cell r="D50" t="str">
            <v>TANGUDU SANTOSH</v>
          </cell>
        </row>
        <row r="51">
          <cell r="C51">
            <v>250371553154</v>
          </cell>
          <cell r="D51" t="str">
            <v xml:space="preserve">YADAV CHANIKYA </v>
          </cell>
        </row>
        <row r="52">
          <cell r="C52">
            <v>250371553001</v>
          </cell>
          <cell r="D52" t="str">
            <v xml:space="preserve">ADABALA ADI RAMA DURGA </v>
          </cell>
        </row>
        <row r="53">
          <cell r="C53">
            <v>250371553003</v>
          </cell>
          <cell r="D53" t="str">
            <v xml:space="preserve">ADIREDDY BALAJI </v>
          </cell>
        </row>
        <row r="54">
          <cell r="C54">
            <v>250371553006</v>
          </cell>
          <cell r="D54" t="str">
            <v xml:space="preserve">ALLADA TRINADH </v>
          </cell>
        </row>
        <row r="55">
          <cell r="C55">
            <v>250371553018</v>
          </cell>
          <cell r="D55" t="str">
            <v xml:space="preserve">BONDA PAVAN KUMAR </v>
          </cell>
        </row>
        <row r="56">
          <cell r="C56">
            <v>250371553021</v>
          </cell>
          <cell r="D56" t="str">
            <v xml:space="preserve">CHINNI DURGA SHANKAR </v>
          </cell>
        </row>
        <row r="57">
          <cell r="C57">
            <v>250371553022</v>
          </cell>
          <cell r="D57" t="str">
            <v xml:space="preserve">CHINNIPILLI LAKSHMI SRI AKASH </v>
          </cell>
        </row>
        <row r="58">
          <cell r="C58">
            <v>250371553025</v>
          </cell>
          <cell r="D58" t="str">
            <v xml:space="preserve">CHINTHAKULA MEGHANA </v>
          </cell>
        </row>
        <row r="59">
          <cell r="C59">
            <v>250371553028</v>
          </cell>
          <cell r="D59" t="str">
            <v xml:space="preserve">CHIPITI VENKATA LAKSHMI </v>
          </cell>
        </row>
        <row r="60">
          <cell r="C60">
            <v>250371553030</v>
          </cell>
          <cell r="D60" t="str">
            <v xml:space="preserve">CHITTURI JYOTHI MALLIKA DEVI </v>
          </cell>
        </row>
        <row r="61">
          <cell r="C61">
            <v>250371553032</v>
          </cell>
          <cell r="D61" t="str">
            <v xml:space="preserve">CHODISETTI DURGA SAI CHAKRI </v>
          </cell>
        </row>
        <row r="62">
          <cell r="C62">
            <v>250371553036</v>
          </cell>
          <cell r="D62" t="str">
            <v xml:space="preserve">DAVULURI POOJA VEERA SATYA SHALINI </v>
          </cell>
        </row>
        <row r="63">
          <cell r="C63">
            <v>250371553037</v>
          </cell>
          <cell r="D63" t="str">
            <v xml:space="preserve">DHULIPUDI PURNA CHAKRA TEJA SRI </v>
          </cell>
        </row>
        <row r="64">
          <cell r="C64">
            <v>250371553039</v>
          </cell>
          <cell r="D64" t="str">
            <v xml:space="preserve">DWARAMPUDI JAHNAVI SAI DEVI </v>
          </cell>
        </row>
        <row r="65">
          <cell r="C65">
            <v>250371553044</v>
          </cell>
          <cell r="D65" t="str">
            <v xml:space="preserve">GARIKINA DEVIKA </v>
          </cell>
        </row>
        <row r="66">
          <cell r="C66">
            <v>250371553049</v>
          </cell>
          <cell r="D66" t="str">
            <v xml:space="preserve">GONTHIREDDY DURGA JYOTHI </v>
          </cell>
        </row>
        <row r="67">
          <cell r="C67">
            <v>250371553052</v>
          </cell>
          <cell r="D67" t="str">
            <v xml:space="preserve">JAKKAPU PAVANI </v>
          </cell>
        </row>
        <row r="68">
          <cell r="C68">
            <v>250371553059</v>
          </cell>
          <cell r="D68" t="str">
            <v xml:space="preserve">KAKI DURGA RAMA TULASI </v>
          </cell>
        </row>
        <row r="69">
          <cell r="C69">
            <v>250371553060</v>
          </cell>
          <cell r="D69" t="str">
            <v xml:space="preserve">KALADI DHANUNJAYA </v>
          </cell>
        </row>
        <row r="70">
          <cell r="C70">
            <v>250371553064</v>
          </cell>
          <cell r="D70" t="str">
            <v xml:space="preserve">KARLACHARLA SRI VAISHNAVI </v>
          </cell>
        </row>
        <row r="71">
          <cell r="C71">
            <v>250371553067</v>
          </cell>
          <cell r="D71" t="str">
            <v xml:space="preserve">KARRI GEETIKA LAKSHMI </v>
          </cell>
        </row>
        <row r="72">
          <cell r="C72">
            <v>250371553068</v>
          </cell>
          <cell r="D72" t="str">
            <v xml:space="preserve">KARRI SATYA SRI </v>
          </cell>
        </row>
        <row r="73">
          <cell r="C73">
            <v>250371553070</v>
          </cell>
          <cell r="D73" t="str">
            <v xml:space="preserve">KESARAPU JAGAN </v>
          </cell>
        </row>
        <row r="74">
          <cell r="C74">
            <v>250371553077</v>
          </cell>
          <cell r="D74" t="str">
            <v xml:space="preserve">KOSURI JAHNAVI SRI MANI MANJARI </v>
          </cell>
        </row>
        <row r="75">
          <cell r="C75">
            <v>250371553085</v>
          </cell>
          <cell r="D75" t="str">
            <v xml:space="preserve">MANDARAPU PURNA YASWANTH </v>
          </cell>
        </row>
        <row r="76">
          <cell r="C76">
            <v>250371553086</v>
          </cell>
          <cell r="D76" t="str">
            <v xml:space="preserve">MANEPALLI PRATHIBHA </v>
          </cell>
        </row>
        <row r="77">
          <cell r="C77">
            <v>250371553087</v>
          </cell>
          <cell r="D77" t="str">
            <v xml:space="preserve">MARISETTI SREE ANJANEYA </v>
          </cell>
        </row>
        <row r="78">
          <cell r="C78">
            <v>250371553088</v>
          </cell>
          <cell r="D78" t="str">
            <v xml:space="preserve">MATHI JOSH RAM </v>
          </cell>
        </row>
        <row r="79">
          <cell r="C79">
            <v>250371553090</v>
          </cell>
          <cell r="D79" t="str">
            <v xml:space="preserve">MERNEEDI HEMA SOWJANA </v>
          </cell>
        </row>
        <row r="80">
          <cell r="C80">
            <v>250371553091</v>
          </cell>
          <cell r="D80" t="str">
            <v xml:space="preserve">MOHAMMAD GOUSE MOHEUDDIN </v>
          </cell>
        </row>
        <row r="81">
          <cell r="C81">
            <v>250371553092</v>
          </cell>
          <cell r="D81" t="str">
            <v xml:space="preserve">MORUKURTHI TEJA SRI </v>
          </cell>
        </row>
        <row r="82">
          <cell r="C82">
            <v>250371553093</v>
          </cell>
          <cell r="D82" t="str">
            <v xml:space="preserve">MOSA ABHISHEK </v>
          </cell>
        </row>
        <row r="83">
          <cell r="C83">
            <v>250371553094</v>
          </cell>
          <cell r="D83" t="str">
            <v xml:space="preserve">MUMMASANI VEERABABU </v>
          </cell>
        </row>
        <row r="84">
          <cell r="C84">
            <v>250371553096</v>
          </cell>
          <cell r="D84" t="str">
            <v xml:space="preserve">MYLAPALLI APPALA KONDA </v>
          </cell>
        </row>
        <row r="85">
          <cell r="C85">
            <v>250371553100</v>
          </cell>
          <cell r="D85" t="str">
            <v xml:space="preserve">NANDIKOLLA AJAY </v>
          </cell>
        </row>
        <row r="86">
          <cell r="C86">
            <v>250371553102</v>
          </cell>
          <cell r="D86" t="str">
            <v xml:space="preserve">NARALA SURESH </v>
          </cell>
        </row>
        <row r="87">
          <cell r="C87">
            <v>250371553103</v>
          </cell>
          <cell r="D87" t="str">
            <v xml:space="preserve">NEMMADI SAI SOWMYA </v>
          </cell>
        </row>
        <row r="88">
          <cell r="C88">
            <v>250371553110</v>
          </cell>
          <cell r="D88" t="str">
            <v xml:space="preserve">PAPPU SRI VEERA VENKATA MADHAV </v>
          </cell>
        </row>
        <row r="89">
          <cell r="C89">
            <v>250371553116</v>
          </cell>
          <cell r="D89" t="str">
            <v xml:space="preserve">PERUMALLA VYSHNAVI </v>
          </cell>
        </row>
        <row r="90">
          <cell r="C90">
            <v>250371553118</v>
          </cell>
          <cell r="D90" t="str">
            <v xml:space="preserve">PITHANI CHANDRIKA </v>
          </cell>
        </row>
        <row r="91">
          <cell r="C91">
            <v>250371553125</v>
          </cell>
          <cell r="D91" t="str">
            <v xml:space="preserve">REJETI HARI PRANITHA </v>
          </cell>
        </row>
        <row r="92">
          <cell r="C92">
            <v>250371553126</v>
          </cell>
          <cell r="D92" t="str">
            <v xml:space="preserve">REKADI KARTHIK </v>
          </cell>
        </row>
        <row r="93">
          <cell r="C93">
            <v>250371553128</v>
          </cell>
          <cell r="D93" t="str">
            <v xml:space="preserve">SAKETI KIRANMAYI </v>
          </cell>
        </row>
        <row r="94">
          <cell r="C94">
            <v>250371553134</v>
          </cell>
          <cell r="D94" t="str">
            <v xml:space="preserve">SINGAM DEEPAK SATYA KRISHNA NAGA SAI </v>
          </cell>
        </row>
        <row r="95">
          <cell r="C95">
            <v>250371553135</v>
          </cell>
          <cell r="D95" t="str">
            <v xml:space="preserve">SINGAVARAPU SRI SAI CHARAN TEJA </v>
          </cell>
        </row>
        <row r="96">
          <cell r="C96">
            <v>250371553137</v>
          </cell>
          <cell r="D96" t="str">
            <v xml:space="preserve">SUDARSANAM NIKHILA SRI SAI ANUSHA </v>
          </cell>
        </row>
        <row r="97">
          <cell r="C97">
            <v>250371553140</v>
          </cell>
          <cell r="D97" t="str">
            <v xml:space="preserve">TADIPARTHI RENUKA </v>
          </cell>
        </row>
        <row r="98">
          <cell r="C98">
            <v>250371553142</v>
          </cell>
          <cell r="D98" t="str">
            <v xml:space="preserve">TEKU ROSHINI ISWARYA AMBIKA DEVI </v>
          </cell>
        </row>
        <row r="99">
          <cell r="C99">
            <v>250371553143</v>
          </cell>
          <cell r="D99" t="str">
            <v xml:space="preserve">THOTA SANDHYANA </v>
          </cell>
        </row>
        <row r="100">
          <cell r="C100">
            <v>250371553147</v>
          </cell>
          <cell r="D100" t="str">
            <v xml:space="preserve">VAIDADI SUBHASH VARMA </v>
          </cell>
        </row>
        <row r="101">
          <cell r="C101">
            <v>250371553148</v>
          </cell>
          <cell r="D101" t="str">
            <v xml:space="preserve">VALLABHU NIKHILA LOKA KALYANI </v>
          </cell>
        </row>
        <row r="102">
          <cell r="C102">
            <v>250371553150</v>
          </cell>
          <cell r="D102" t="str">
            <v xml:space="preserve">VASAMSETTI SURYA VENKATA SRI MAHALAKSHMI </v>
          </cell>
        </row>
        <row r="103">
          <cell r="C103">
            <v>250371553153</v>
          </cell>
          <cell r="D103" t="str">
            <v xml:space="preserve">YADALA SIMHADRI </v>
          </cell>
        </row>
        <row r="104">
          <cell r="C104">
            <v>250371553002</v>
          </cell>
          <cell r="D104" t="str">
            <v xml:space="preserve">ADIGARLA DEVI MANOJNA </v>
          </cell>
        </row>
        <row r="105">
          <cell r="C105">
            <v>250371553014</v>
          </cell>
          <cell r="D105" t="str">
            <v xml:space="preserve">BATHULA VIJAYA LAKSHMI </v>
          </cell>
        </row>
        <row r="106">
          <cell r="C106">
            <v>250371553016</v>
          </cell>
          <cell r="D106" t="str">
            <v xml:space="preserve">BODDU MAHA VEERA VENKATA SATYA PRASAD </v>
          </cell>
        </row>
        <row r="107">
          <cell r="C107">
            <v>250371553017</v>
          </cell>
          <cell r="D107" t="str">
            <v xml:space="preserve">BOMMIDI VENKATA DEEPIKA </v>
          </cell>
        </row>
        <row r="108">
          <cell r="C108">
            <v>250371553019</v>
          </cell>
          <cell r="D108" t="str">
            <v xml:space="preserve">BORRA VISHALA </v>
          </cell>
        </row>
        <row r="109">
          <cell r="C109">
            <v>250371553023</v>
          </cell>
          <cell r="D109" t="str">
            <v xml:space="preserve">CHINTA VENU SRI </v>
          </cell>
        </row>
        <row r="110">
          <cell r="C110">
            <v>250371553024</v>
          </cell>
          <cell r="D110" t="str">
            <v xml:space="preserve">CHINTAKRINDA LAKSHMIKALA </v>
          </cell>
        </row>
        <row r="111">
          <cell r="C111">
            <v>250371553026</v>
          </cell>
          <cell r="D111" t="str">
            <v xml:space="preserve">CHINTHALAPUDI VEERA VENKATA LOVA JAGADEESH </v>
          </cell>
        </row>
        <row r="112">
          <cell r="C112">
            <v>250371553029</v>
          </cell>
          <cell r="D112" t="str">
            <v xml:space="preserve">CHITEKELA VEERA VENKATA SAI NOOKARAJU </v>
          </cell>
        </row>
        <row r="113">
          <cell r="C113">
            <v>250371553031</v>
          </cell>
          <cell r="D113" t="str">
            <v xml:space="preserve">CHODIPILLI SRINU </v>
          </cell>
        </row>
        <row r="114">
          <cell r="C114">
            <v>250371553033</v>
          </cell>
          <cell r="D114" t="str">
            <v xml:space="preserve">CHOKKA PRABHU KIRAN </v>
          </cell>
        </row>
        <row r="115">
          <cell r="C115">
            <v>250371553038</v>
          </cell>
          <cell r="D115" t="str">
            <v xml:space="preserve">DULLA PARDHU </v>
          </cell>
        </row>
        <row r="116">
          <cell r="C116">
            <v>250371553042</v>
          </cell>
          <cell r="D116" t="str">
            <v xml:space="preserve">GANISETTI APARNA </v>
          </cell>
        </row>
        <row r="117">
          <cell r="C117">
            <v>250371553043</v>
          </cell>
          <cell r="D117" t="str">
            <v xml:space="preserve">GANJA SURYA SRI SATYA TEJASWINI </v>
          </cell>
        </row>
        <row r="118">
          <cell r="C118">
            <v>250371553048</v>
          </cell>
          <cell r="D118" t="str">
            <v xml:space="preserve">GONIGINTHALA MOHAN SRI KRISHNA </v>
          </cell>
        </row>
        <row r="119">
          <cell r="C119">
            <v>250371553051</v>
          </cell>
          <cell r="D119" t="str">
            <v xml:space="preserve">INDUGAPALLI SAMPATH KUMAR </v>
          </cell>
        </row>
        <row r="120">
          <cell r="C120">
            <v>250371553054</v>
          </cell>
          <cell r="D120" t="str">
            <v xml:space="preserve">JALLIGAMPALA ANJALI </v>
          </cell>
        </row>
        <row r="121">
          <cell r="C121">
            <v>250371553055</v>
          </cell>
          <cell r="D121" t="str">
            <v xml:space="preserve">JANUMAHAMTHI NIKHIL NETRA </v>
          </cell>
        </row>
        <row r="122">
          <cell r="C122">
            <v>250371553056</v>
          </cell>
          <cell r="D122" t="str">
            <v xml:space="preserve">JOGA NAGA PRAVALLIKA </v>
          </cell>
        </row>
        <row r="123">
          <cell r="C123">
            <v>250371553058</v>
          </cell>
          <cell r="D123" t="str">
            <v xml:space="preserve">KADARI DURGA PAVAN KUMAR </v>
          </cell>
        </row>
        <row r="124">
          <cell r="C124">
            <v>250371553061</v>
          </cell>
          <cell r="D124" t="str">
            <v xml:space="preserve">KALLA VILAS </v>
          </cell>
        </row>
        <row r="125">
          <cell r="C125">
            <v>250371553063</v>
          </cell>
          <cell r="D125" t="str">
            <v xml:space="preserve">KARANAM VISHNUVARDHAN </v>
          </cell>
        </row>
        <row r="126">
          <cell r="C126">
            <v>250371553066</v>
          </cell>
          <cell r="D126" t="str">
            <v xml:space="preserve">KARRI DURGA BHAVANI </v>
          </cell>
        </row>
        <row r="127">
          <cell r="C127">
            <v>250371553075</v>
          </cell>
          <cell r="D127" t="str">
            <v xml:space="preserve">KOMMIREDDY GEETHA GAYATHRI </v>
          </cell>
        </row>
        <row r="128">
          <cell r="C128">
            <v>250371553078</v>
          </cell>
          <cell r="D128" t="str">
            <v xml:space="preserve">KOYYA TEJA NOOKESH </v>
          </cell>
        </row>
        <row r="129">
          <cell r="C129">
            <v>250371553080</v>
          </cell>
          <cell r="D129" t="str">
            <v xml:space="preserve">LANKA VENU GOPALA KRISHNA </v>
          </cell>
        </row>
        <row r="130">
          <cell r="C130">
            <v>250371553082</v>
          </cell>
          <cell r="D130" t="str">
            <v xml:space="preserve">MADDALA VIJAYAKAR </v>
          </cell>
        </row>
        <row r="131">
          <cell r="C131">
            <v>250371553083</v>
          </cell>
          <cell r="D131" t="str">
            <v xml:space="preserve">MAHANTHI ADITYA KUMAR </v>
          </cell>
        </row>
        <row r="132">
          <cell r="C132">
            <v>250371553089</v>
          </cell>
          <cell r="D132" t="str">
            <v xml:space="preserve">MATTA JAYA CHANDRA SAI VARA PRASAD </v>
          </cell>
        </row>
        <row r="133">
          <cell r="C133">
            <v>250371553095</v>
          </cell>
          <cell r="D133" t="str">
            <v xml:space="preserve">MUNGALLA DATTATREYUDU </v>
          </cell>
        </row>
        <row r="134">
          <cell r="C134">
            <v>250371553099</v>
          </cell>
          <cell r="D134" t="str">
            <v xml:space="preserve">NALLA NAVEEN </v>
          </cell>
        </row>
        <row r="135">
          <cell r="C135">
            <v>250371553101</v>
          </cell>
          <cell r="D135" t="str">
            <v xml:space="preserve">NARALA MOUNI KRISHNA </v>
          </cell>
        </row>
        <row r="136">
          <cell r="C136">
            <v>250371553105</v>
          </cell>
          <cell r="D136" t="str">
            <v xml:space="preserve">ORUGANTI VAMSI KRISHNA </v>
          </cell>
        </row>
        <row r="137">
          <cell r="C137">
            <v>250371553107</v>
          </cell>
          <cell r="D137" t="str">
            <v xml:space="preserve">PALIVELA SAI LALITHA </v>
          </cell>
        </row>
        <row r="138">
          <cell r="C138">
            <v>250371553108</v>
          </cell>
          <cell r="D138" t="str">
            <v xml:space="preserve">PALLA LOKESH </v>
          </cell>
        </row>
        <row r="139">
          <cell r="C139">
            <v>250371553111</v>
          </cell>
          <cell r="D139" t="str">
            <v xml:space="preserve">PASHALA SRIVIDYA </v>
          </cell>
        </row>
        <row r="140">
          <cell r="C140">
            <v>250371553117</v>
          </cell>
          <cell r="D140" t="str">
            <v xml:space="preserve">PINISETTI EMMANUEL PRADEEP </v>
          </cell>
        </row>
        <row r="141">
          <cell r="C141">
            <v>250371553120</v>
          </cell>
          <cell r="D141" t="str">
            <v xml:space="preserve">PONNAMANDA LALITHA </v>
          </cell>
        </row>
        <row r="142">
          <cell r="C142">
            <v>250371553121</v>
          </cell>
          <cell r="D142" t="str">
            <v xml:space="preserve">POTHALA JAYANTHI </v>
          </cell>
        </row>
        <row r="143">
          <cell r="C143">
            <v>250371553122</v>
          </cell>
          <cell r="D143" t="str">
            <v xml:space="preserve">PUNYAMANTHULA V V MANASA SIVA DEVI </v>
          </cell>
        </row>
        <row r="144">
          <cell r="C144">
            <v>250371553129</v>
          </cell>
          <cell r="D144" t="str">
            <v xml:space="preserve">SALADI TARUN </v>
          </cell>
        </row>
        <row r="145">
          <cell r="C145">
            <v>250371553132</v>
          </cell>
          <cell r="D145" t="str">
            <v xml:space="preserve">SETTI PRAVALIKA </v>
          </cell>
        </row>
        <row r="146">
          <cell r="C146">
            <v>250371553136</v>
          </cell>
          <cell r="D146" t="str">
            <v xml:space="preserve">SOMAROUTHU ARJUN </v>
          </cell>
        </row>
        <row r="147">
          <cell r="C147">
            <v>250371553138</v>
          </cell>
          <cell r="D147" t="str">
            <v xml:space="preserve">SUNDARAPALLI SETHU KRISHNA MOHAN MEHAR </v>
          </cell>
        </row>
        <row r="148">
          <cell r="C148">
            <v>250371553144</v>
          </cell>
          <cell r="D148" t="str">
            <v xml:space="preserve">UPPALA VEERA VENKATA SAIKUMARI </v>
          </cell>
        </row>
        <row r="149">
          <cell r="C149">
            <v>250371553145</v>
          </cell>
          <cell r="D149" t="str">
            <v xml:space="preserve">VADAPALLI SRI RANGA SAHITYA </v>
          </cell>
        </row>
        <row r="150">
          <cell r="C150">
            <v>250371553146</v>
          </cell>
          <cell r="D150" t="str">
            <v xml:space="preserve">VADDI ANIL KUMAR </v>
          </cell>
        </row>
        <row r="151">
          <cell r="C151">
            <v>250371553149</v>
          </cell>
          <cell r="D151" t="str">
            <v xml:space="preserve">VANAPALLI PREM KUMAR </v>
          </cell>
        </row>
        <row r="152">
          <cell r="C152">
            <v>250371553151</v>
          </cell>
          <cell r="D152" t="str">
            <v xml:space="preserve">VEERAMALLA SURYA JANANI </v>
          </cell>
        </row>
        <row r="153">
          <cell r="C153">
            <v>250371553152</v>
          </cell>
          <cell r="D153" t="str">
            <v xml:space="preserve">VENTAPALLI VAMSI </v>
          </cell>
        </row>
        <row r="154">
          <cell r="C154">
            <v>250371553155</v>
          </cell>
          <cell r="D154" t="str">
            <v xml:space="preserve">YENUGU SAIRAM </v>
          </cell>
        </row>
        <row r="155">
          <cell r="C155">
            <v>250371613001</v>
          </cell>
          <cell r="D155" t="str">
            <v xml:space="preserve">AKULA SURYA CHANDRA NAVYA </v>
          </cell>
        </row>
        <row r="156">
          <cell r="C156">
            <v>250371613002</v>
          </cell>
          <cell r="D156" t="str">
            <v xml:space="preserve">AMBUJALAPU NAGENDHRA </v>
          </cell>
        </row>
        <row r="157">
          <cell r="C157">
            <v>250371613003</v>
          </cell>
          <cell r="D157" t="str">
            <v xml:space="preserve">ANUSURI VENKATA KALYANI </v>
          </cell>
        </row>
        <row r="158">
          <cell r="C158">
            <v>250371613004</v>
          </cell>
          <cell r="D158" t="str">
            <v xml:space="preserve">APSANI MANOJ CHANDRA </v>
          </cell>
        </row>
        <row r="159">
          <cell r="C159">
            <v>250371613006</v>
          </cell>
          <cell r="D159" t="str">
            <v xml:space="preserve">BANDI ANAND TEJA </v>
          </cell>
        </row>
        <row r="160">
          <cell r="C160">
            <v>250371613007</v>
          </cell>
          <cell r="D160" t="str">
            <v xml:space="preserve">BARRE MANISHA </v>
          </cell>
        </row>
        <row r="161">
          <cell r="C161">
            <v>250371613011</v>
          </cell>
          <cell r="D161" t="str">
            <v xml:space="preserve">BODAPUDI CHAKRA GANESH </v>
          </cell>
        </row>
        <row r="162">
          <cell r="C162">
            <v>250371613013</v>
          </cell>
          <cell r="D162" t="str">
            <v xml:space="preserve">CHANDAKA SAI HEMANTH </v>
          </cell>
        </row>
        <row r="163">
          <cell r="C163">
            <v>250371613015</v>
          </cell>
          <cell r="D163" t="str">
            <v xml:space="preserve">DANDUPROLU DHANUSH </v>
          </cell>
        </row>
        <row r="164">
          <cell r="C164">
            <v>250371613016</v>
          </cell>
          <cell r="D164" t="str">
            <v xml:space="preserve">DARANALAKOTA LAVANYA </v>
          </cell>
        </row>
        <row r="165">
          <cell r="C165">
            <v>250371613022</v>
          </cell>
          <cell r="D165" t="str">
            <v xml:space="preserve">ETAMSETTI TEJA </v>
          </cell>
        </row>
        <row r="166">
          <cell r="C166">
            <v>250371613023</v>
          </cell>
          <cell r="D166" t="str">
            <v xml:space="preserve">GALLA NARENDRA </v>
          </cell>
        </row>
        <row r="167">
          <cell r="C167">
            <v>250371613024</v>
          </cell>
          <cell r="D167" t="str">
            <v xml:space="preserve">GANDI RUPESH KUMAR </v>
          </cell>
        </row>
        <row r="168">
          <cell r="C168">
            <v>250371613028</v>
          </cell>
          <cell r="D168" t="str">
            <v xml:space="preserve">GOLAGANI ANU </v>
          </cell>
        </row>
        <row r="169">
          <cell r="C169">
            <v>250371613029</v>
          </cell>
          <cell r="D169" t="str">
            <v xml:space="preserve">GORLA BAGYA VARA LAKSHMI </v>
          </cell>
        </row>
        <row r="170">
          <cell r="C170">
            <v>250371613030</v>
          </cell>
          <cell r="D170" t="str">
            <v xml:space="preserve">GOVINDALAPUDI S P G MAHALAKSHMI </v>
          </cell>
        </row>
        <row r="171">
          <cell r="C171">
            <v>250371613031</v>
          </cell>
          <cell r="D171" t="str">
            <v xml:space="preserve">GUNDA AKSHAYA </v>
          </cell>
        </row>
        <row r="172">
          <cell r="C172">
            <v>250371613032</v>
          </cell>
          <cell r="D172" t="str">
            <v xml:space="preserve">GUNNAM TEJASWANI </v>
          </cell>
        </row>
        <row r="173">
          <cell r="C173">
            <v>250371613034</v>
          </cell>
          <cell r="D173" t="str">
            <v xml:space="preserve">INJARAPU DEEPAK DORA </v>
          </cell>
        </row>
        <row r="174">
          <cell r="C174">
            <v>250371613035</v>
          </cell>
          <cell r="D174" t="str">
            <v xml:space="preserve">KAKARA LALITHA DEVI </v>
          </cell>
        </row>
        <row r="175">
          <cell r="C175">
            <v>250371613036</v>
          </cell>
          <cell r="D175" t="str">
            <v xml:space="preserve">KAKARAPARTHI GUNA SHEKAR </v>
          </cell>
        </row>
        <row r="176">
          <cell r="C176">
            <v>250371613037</v>
          </cell>
          <cell r="D176" t="str">
            <v xml:space="preserve">KANAGALLA SAI DEEPTHIKA </v>
          </cell>
        </row>
        <row r="177">
          <cell r="C177">
            <v>250371613038</v>
          </cell>
          <cell r="D177" t="str">
            <v xml:space="preserve">KANCHIRAJU SAI ANNAPURNA SAMEEKSHA </v>
          </cell>
        </row>
        <row r="178">
          <cell r="C178">
            <v>250371613039</v>
          </cell>
          <cell r="D178" t="str">
            <v xml:space="preserve">KARAKA KRISHNA </v>
          </cell>
        </row>
        <row r="179">
          <cell r="C179">
            <v>250371613040</v>
          </cell>
          <cell r="D179" t="str">
            <v xml:space="preserve">KARANAM RAVI TEJA </v>
          </cell>
        </row>
        <row r="180">
          <cell r="C180">
            <v>250371613041</v>
          </cell>
          <cell r="D180" t="str">
            <v xml:space="preserve">KARRI ANITHA </v>
          </cell>
        </row>
        <row r="181">
          <cell r="C181">
            <v>250371613048</v>
          </cell>
          <cell r="D181" t="str">
            <v xml:space="preserve">KONDEPUDI HARIKA ANGEL </v>
          </cell>
        </row>
        <row r="182">
          <cell r="C182">
            <v>250371613052</v>
          </cell>
          <cell r="D182" t="str">
            <v xml:space="preserve">MADEM YERNITHALLI </v>
          </cell>
        </row>
        <row r="183">
          <cell r="C183">
            <v>250371613053</v>
          </cell>
          <cell r="D183" t="str">
            <v xml:space="preserve">MAGADZA TAKUNDA NOKUTENDA </v>
          </cell>
        </row>
        <row r="184">
          <cell r="C184">
            <v>250371613054</v>
          </cell>
          <cell r="D184" t="str">
            <v xml:space="preserve">MAKIREDDY BHARGAVI </v>
          </cell>
        </row>
        <row r="185">
          <cell r="C185">
            <v>250371613055</v>
          </cell>
          <cell r="D185" t="str">
            <v xml:space="preserve">MALLA POOJITHA </v>
          </cell>
        </row>
        <row r="186">
          <cell r="C186">
            <v>250371613056</v>
          </cell>
          <cell r="D186" t="str">
            <v xml:space="preserve">MALLELA HARINI AMRUTHA SAI SRI </v>
          </cell>
        </row>
        <row r="187">
          <cell r="C187">
            <v>250371613059</v>
          </cell>
          <cell r="D187" t="str">
            <v xml:space="preserve">MANDAPATI HEMANTH JAYA RAGHAVA </v>
          </cell>
        </row>
        <row r="188">
          <cell r="C188">
            <v>250371613060</v>
          </cell>
          <cell r="D188" t="str">
            <v xml:space="preserve">MEDA SAMYELU </v>
          </cell>
        </row>
        <row r="189">
          <cell r="C189">
            <v>250371613061</v>
          </cell>
          <cell r="D189" t="str">
            <v xml:space="preserve">MEDARAMATI KEERTHANA </v>
          </cell>
        </row>
        <row r="190">
          <cell r="C190">
            <v>250371613067</v>
          </cell>
          <cell r="D190" t="str">
            <v xml:space="preserve">MOHAMMAD AYESHA FATHIMUNNISA BEGUM </v>
          </cell>
        </row>
        <row r="191">
          <cell r="C191">
            <v>250371613068</v>
          </cell>
          <cell r="D191" t="str">
            <v xml:space="preserve">MUDDA PAVAN MANOJ </v>
          </cell>
        </row>
        <row r="192">
          <cell r="C192">
            <v>250371613071</v>
          </cell>
          <cell r="D192" t="str">
            <v xml:space="preserve">MUMMIDI VENKATA JYOTHI </v>
          </cell>
        </row>
        <row r="193">
          <cell r="C193">
            <v>250371613072</v>
          </cell>
          <cell r="D193" t="str">
            <v>NAFEESAH KHAIRUN SYED</v>
          </cell>
        </row>
        <row r="194">
          <cell r="C194">
            <v>250371613073</v>
          </cell>
          <cell r="D194" t="str">
            <v xml:space="preserve">NAGULAPALLI ISHWARYAMBICA </v>
          </cell>
        </row>
        <row r="195">
          <cell r="C195">
            <v>250371613075</v>
          </cell>
          <cell r="D195" t="str">
            <v xml:space="preserve">NEMALA SRI SATHYA RAAJINI </v>
          </cell>
        </row>
        <row r="196">
          <cell r="C196">
            <v>250371613076</v>
          </cell>
          <cell r="D196" t="str">
            <v xml:space="preserve">NOKKA SRISANTH </v>
          </cell>
        </row>
        <row r="197">
          <cell r="C197">
            <v>250371613080</v>
          </cell>
          <cell r="D197" t="str">
            <v xml:space="preserve">PALURI VYSHNAVI </v>
          </cell>
        </row>
        <row r="198">
          <cell r="C198">
            <v>250371613081</v>
          </cell>
          <cell r="D198" t="str">
            <v xml:space="preserve">PEDDIREDDY VEERA NARAYANAMMA </v>
          </cell>
        </row>
        <row r="199">
          <cell r="C199">
            <v>250371613082</v>
          </cell>
          <cell r="D199" t="str">
            <v xml:space="preserve">PEKETI NAGASIDDU </v>
          </cell>
        </row>
        <row r="200">
          <cell r="C200">
            <v>250371613084</v>
          </cell>
          <cell r="D200" t="str">
            <v xml:space="preserve">PEYYALA KRISHNA VAMSI </v>
          </cell>
        </row>
        <row r="201">
          <cell r="C201">
            <v>250371613088</v>
          </cell>
          <cell r="D201" t="str">
            <v xml:space="preserve">PRAYAGALA YUGANDHAR </v>
          </cell>
        </row>
        <row r="202">
          <cell r="C202">
            <v>250371613090</v>
          </cell>
          <cell r="D202" t="str">
            <v xml:space="preserve">PULIDINDI SRIRAM </v>
          </cell>
        </row>
        <row r="203">
          <cell r="C203">
            <v>250371613092</v>
          </cell>
          <cell r="D203" t="str">
            <v xml:space="preserve">RAYUDU PAVANI </v>
          </cell>
        </row>
        <row r="204">
          <cell r="C204">
            <v>250371613093</v>
          </cell>
          <cell r="D204" t="str">
            <v xml:space="preserve">REKADI SANTHOSH </v>
          </cell>
        </row>
        <row r="205">
          <cell r="C205">
            <v>250371613095</v>
          </cell>
          <cell r="D205" t="str">
            <v xml:space="preserve">SABBAVARAPU RAGHUNADH </v>
          </cell>
        </row>
        <row r="206">
          <cell r="C206">
            <v>250371613097</v>
          </cell>
          <cell r="D206" t="str">
            <v xml:space="preserve">SANA LAKSHMI GANGA BHAVANI </v>
          </cell>
        </row>
        <row r="207">
          <cell r="C207">
            <v>250371613098</v>
          </cell>
          <cell r="D207" t="str">
            <v xml:space="preserve">SANAPALLI VEERA SATYA SAI RAVI </v>
          </cell>
        </row>
        <row r="208">
          <cell r="C208">
            <v>250371613107</v>
          </cell>
          <cell r="D208" t="str">
            <v xml:space="preserve">TEKUMUDI NAGA ANUSHA </v>
          </cell>
        </row>
        <row r="209">
          <cell r="C209">
            <v>250371613108</v>
          </cell>
          <cell r="D209" t="str">
            <v>THOLUM DEEPIKA</v>
          </cell>
        </row>
        <row r="210">
          <cell r="C210">
            <v>250371613112</v>
          </cell>
          <cell r="D210" t="str">
            <v xml:space="preserve">VEMANA JAYA DATTA </v>
          </cell>
        </row>
        <row r="211">
          <cell r="C211">
            <v>250371613113</v>
          </cell>
          <cell r="D211" t="str">
            <v xml:space="preserve">YENAPU VEERA SANTOSH JASWANTH </v>
          </cell>
        </row>
        <row r="212">
          <cell r="C212">
            <v>250371613005</v>
          </cell>
          <cell r="D212" t="str">
            <v xml:space="preserve">AYYANKI SURYA SIDHU </v>
          </cell>
        </row>
        <row r="213">
          <cell r="C213">
            <v>250371613008</v>
          </cell>
          <cell r="D213" t="str">
            <v xml:space="preserve">BATHINA SATYA SWAROOP </v>
          </cell>
        </row>
        <row r="214">
          <cell r="C214">
            <v>250371613009</v>
          </cell>
          <cell r="D214" t="str">
            <v xml:space="preserve">BELLAPUKONADA NAVYASRI </v>
          </cell>
        </row>
        <row r="215">
          <cell r="C215">
            <v>250371613010</v>
          </cell>
          <cell r="D215" t="str">
            <v xml:space="preserve">BHARATALA JAYASRI SANTOSHI RATNAM </v>
          </cell>
        </row>
        <row r="216">
          <cell r="C216">
            <v>250371613012</v>
          </cell>
          <cell r="D216" t="str">
            <v xml:space="preserve">BOLLU SRI SAI SURYA GANGA VENKAT </v>
          </cell>
        </row>
        <row r="217">
          <cell r="C217">
            <v>250371613014</v>
          </cell>
          <cell r="D217" t="str">
            <v xml:space="preserve">DADALA KRISHNAKANTH </v>
          </cell>
        </row>
        <row r="218">
          <cell r="C218">
            <v>250371613017</v>
          </cell>
          <cell r="D218" t="str">
            <v xml:space="preserve">DASARI YASWANTH RAJ KUMAR </v>
          </cell>
        </row>
        <row r="219">
          <cell r="C219">
            <v>250371613018</v>
          </cell>
          <cell r="D219" t="str">
            <v xml:space="preserve">DEGALA BALA SUBRAHMANYAM </v>
          </cell>
        </row>
        <row r="220">
          <cell r="C220">
            <v>250371613019</v>
          </cell>
          <cell r="D220" t="str">
            <v xml:space="preserve">DEVISETTI VEERA VENKATA SAI </v>
          </cell>
        </row>
        <row r="221">
          <cell r="C221">
            <v>250371613020</v>
          </cell>
          <cell r="D221" t="str">
            <v xml:space="preserve">DODDI TEJASWINI </v>
          </cell>
        </row>
        <row r="222">
          <cell r="C222">
            <v>250371613021</v>
          </cell>
          <cell r="D222" t="str">
            <v xml:space="preserve">ELLA VINAY </v>
          </cell>
        </row>
        <row r="223">
          <cell r="C223">
            <v>250371613025</v>
          </cell>
          <cell r="D223" t="str">
            <v xml:space="preserve">GAVIREDDY  HYMA </v>
          </cell>
        </row>
        <row r="224">
          <cell r="C224">
            <v>250371613026</v>
          </cell>
          <cell r="D224" t="str">
            <v xml:space="preserve">GINJALA SIRI SATYA KALYANI </v>
          </cell>
        </row>
        <row r="225">
          <cell r="C225">
            <v>250371613027</v>
          </cell>
          <cell r="D225" t="str">
            <v xml:space="preserve">GOBERU MAHA LAKSHMI DURGA ASRITA </v>
          </cell>
        </row>
        <row r="226">
          <cell r="C226">
            <v>250371613033</v>
          </cell>
          <cell r="D226" t="str">
            <v xml:space="preserve">GUNTA BHAVANA </v>
          </cell>
        </row>
        <row r="227">
          <cell r="C227">
            <v>250371613042</v>
          </cell>
          <cell r="D227" t="str">
            <v xml:space="preserve">KARRI DEVI SRI </v>
          </cell>
        </row>
        <row r="228">
          <cell r="C228">
            <v>250371613043</v>
          </cell>
          <cell r="D228" t="str">
            <v xml:space="preserve">KARRI PRAVALLIKA </v>
          </cell>
        </row>
        <row r="229">
          <cell r="C229">
            <v>250371613044</v>
          </cell>
          <cell r="D229" t="str">
            <v xml:space="preserve">KARRI PURUHOTHIKA </v>
          </cell>
        </row>
        <row r="230">
          <cell r="C230">
            <v>250371613045</v>
          </cell>
          <cell r="D230" t="str">
            <v xml:space="preserve">KARRI SAMYUL RAJU </v>
          </cell>
        </row>
        <row r="231">
          <cell r="C231">
            <v>250371613046</v>
          </cell>
          <cell r="D231" t="str">
            <v xml:space="preserve">KASI PRAKSHANJALI </v>
          </cell>
        </row>
        <row r="232">
          <cell r="C232">
            <v>250371613047</v>
          </cell>
          <cell r="D232" t="str">
            <v xml:space="preserve">KOKA VIGNESH RAM GOPAL </v>
          </cell>
        </row>
        <row r="233">
          <cell r="C233">
            <v>250371613049</v>
          </cell>
          <cell r="D233" t="str">
            <v xml:space="preserve">KORUKONDA PRAJWAL RAKESH </v>
          </cell>
        </row>
        <row r="234">
          <cell r="C234">
            <v>250371613050</v>
          </cell>
          <cell r="D234" t="str">
            <v xml:space="preserve">KOVVURI JYOTHI VEERA LAKSHMI PRIYANKA </v>
          </cell>
        </row>
        <row r="235">
          <cell r="C235">
            <v>250371613051</v>
          </cell>
          <cell r="D235" t="str">
            <v xml:space="preserve">KOYYA GAYATHRI DEVI </v>
          </cell>
        </row>
        <row r="236">
          <cell r="C236">
            <v>250371613057</v>
          </cell>
          <cell r="D236" t="str">
            <v xml:space="preserve">MALLIPUDI KEERTHANA </v>
          </cell>
        </row>
        <row r="237">
          <cell r="C237">
            <v>250371613058</v>
          </cell>
          <cell r="D237" t="str">
            <v xml:space="preserve">MAMIDI SOFIYA </v>
          </cell>
        </row>
        <row r="238">
          <cell r="C238">
            <v>250371613062</v>
          </cell>
          <cell r="D238" t="str">
            <v xml:space="preserve">MEDISETTI CHAITANYA SRI MAHI </v>
          </cell>
        </row>
        <row r="239">
          <cell r="C239">
            <v>250371613063</v>
          </cell>
          <cell r="D239" t="str">
            <v xml:space="preserve">MEDISETTI RAMYADEVI </v>
          </cell>
        </row>
        <row r="240">
          <cell r="C240">
            <v>250371613064</v>
          </cell>
          <cell r="D240" t="str">
            <v xml:space="preserve">MIRIHIPATI V V S V NIRUPAMA </v>
          </cell>
        </row>
        <row r="241">
          <cell r="C241">
            <v>250371613065</v>
          </cell>
          <cell r="D241" t="str">
            <v xml:space="preserve">MOGALAPU VIJAY </v>
          </cell>
        </row>
        <row r="242">
          <cell r="C242">
            <v>250371613066</v>
          </cell>
          <cell r="D242" t="str">
            <v xml:space="preserve">MOHAMMAD AMEERUDDIN </v>
          </cell>
        </row>
        <row r="243">
          <cell r="C243">
            <v>250371613069</v>
          </cell>
          <cell r="D243" t="str">
            <v xml:space="preserve">MUMMANA SANTHOSH KUMAR </v>
          </cell>
        </row>
        <row r="244">
          <cell r="C244">
            <v>250371613070</v>
          </cell>
          <cell r="D244" t="str">
            <v xml:space="preserve">MUMMIDI JOSEPH KISHORE </v>
          </cell>
        </row>
        <row r="245">
          <cell r="C245">
            <v>250371613074</v>
          </cell>
          <cell r="D245" t="str">
            <v xml:space="preserve">NELLIPUDI LEELA LAKSHMIDURGA DEVI </v>
          </cell>
        </row>
        <row r="246">
          <cell r="C246">
            <v>250371613077</v>
          </cell>
          <cell r="D246" t="str">
            <v xml:space="preserve">PABBU VIGNESH </v>
          </cell>
        </row>
        <row r="247">
          <cell r="C247">
            <v>250371613078</v>
          </cell>
          <cell r="D247" t="str">
            <v xml:space="preserve">PALLI SUSHMA </v>
          </cell>
        </row>
        <row r="248">
          <cell r="C248">
            <v>250371613079</v>
          </cell>
          <cell r="D248" t="str">
            <v xml:space="preserve">PALURI VEERA VENKATA APURUPA LAKSHMI </v>
          </cell>
        </row>
        <row r="249">
          <cell r="C249">
            <v>250371613083</v>
          </cell>
          <cell r="D249" t="str">
            <v xml:space="preserve">PENKEY BHARGAV </v>
          </cell>
        </row>
        <row r="250">
          <cell r="C250">
            <v>250371613085</v>
          </cell>
          <cell r="D250" t="str">
            <v xml:space="preserve">PINAPOTHU KALYAN RAJU </v>
          </cell>
        </row>
        <row r="251">
          <cell r="C251">
            <v>250371613086</v>
          </cell>
          <cell r="D251" t="str">
            <v xml:space="preserve">PONNADA JESHIKA VISWA </v>
          </cell>
        </row>
        <row r="252">
          <cell r="C252">
            <v>250371613087</v>
          </cell>
          <cell r="D252" t="str">
            <v xml:space="preserve">PONTURI YASASWINI MADHURI </v>
          </cell>
        </row>
        <row r="253">
          <cell r="C253">
            <v>250371613089</v>
          </cell>
          <cell r="D253" t="str">
            <v xml:space="preserve">PULIBANTI THARUN KUMAR </v>
          </cell>
        </row>
        <row r="254">
          <cell r="C254">
            <v>250371613091</v>
          </cell>
          <cell r="D254" t="str">
            <v xml:space="preserve">PUNYAMANTHULA AYYAPPA SATYA PRASAD </v>
          </cell>
        </row>
        <row r="255">
          <cell r="C255">
            <v>250371613094</v>
          </cell>
          <cell r="D255" t="str">
            <v xml:space="preserve">RELLIVALASA ARAVIND CHARAN NIKHIL </v>
          </cell>
        </row>
        <row r="256">
          <cell r="C256">
            <v>250371613096</v>
          </cell>
          <cell r="D256" t="str">
            <v xml:space="preserve">SALADI SUNITHA </v>
          </cell>
        </row>
        <row r="257">
          <cell r="C257">
            <v>250371613099</v>
          </cell>
          <cell r="D257" t="str">
            <v xml:space="preserve">SAPPA BHAVANI </v>
          </cell>
        </row>
        <row r="258">
          <cell r="C258">
            <v>250371613100</v>
          </cell>
          <cell r="D258" t="str">
            <v xml:space="preserve">SHAIK AHMED ALISHA </v>
          </cell>
        </row>
        <row r="259">
          <cell r="C259">
            <v>250371613101</v>
          </cell>
          <cell r="D259" t="str">
            <v xml:space="preserve">SHAIK AHMEDUNNISA </v>
          </cell>
        </row>
        <row r="260">
          <cell r="C260">
            <v>250371613102</v>
          </cell>
          <cell r="D260" t="str">
            <v xml:space="preserve">SIRRA BHARATH </v>
          </cell>
        </row>
        <row r="261">
          <cell r="C261">
            <v>250371613103</v>
          </cell>
          <cell r="D261" t="str">
            <v>SONALI SARKAR</v>
          </cell>
        </row>
        <row r="262">
          <cell r="C262">
            <v>250371613104</v>
          </cell>
          <cell r="D262" t="str">
            <v xml:space="preserve">SUNDARANEEDI AKSHAYA TULASI </v>
          </cell>
        </row>
        <row r="263">
          <cell r="C263">
            <v>250371613105</v>
          </cell>
          <cell r="D263" t="str">
            <v xml:space="preserve">SUNKARA HARI SAI DURGA VIJAYA LAKSHMI </v>
          </cell>
        </row>
        <row r="264">
          <cell r="C264">
            <v>250371613106</v>
          </cell>
          <cell r="D264" t="str">
            <v xml:space="preserve">SURAMPUDI LEELA SUREKHA </v>
          </cell>
        </row>
        <row r="265">
          <cell r="C265">
            <v>250371613109</v>
          </cell>
          <cell r="D265" t="str">
            <v xml:space="preserve">VADAPARTHI ATCHUTHA </v>
          </cell>
        </row>
        <row r="266">
          <cell r="C266">
            <v>250371613110</v>
          </cell>
          <cell r="D266" t="str">
            <v xml:space="preserve">VARADI ANAND KUMAR </v>
          </cell>
        </row>
        <row r="267">
          <cell r="C267">
            <v>250371613111</v>
          </cell>
          <cell r="D267" t="str">
            <v xml:space="preserve">VELUGULA VEERA SRUJANA </v>
          </cell>
        </row>
        <row r="268">
          <cell r="C268">
            <v>250371613114</v>
          </cell>
          <cell r="D268" t="str">
            <v xml:space="preserve">YERUSU VEERA LAKSHMI POOJITHA </v>
          </cell>
        </row>
        <row r="269">
          <cell r="C269">
            <v>250371509001</v>
          </cell>
          <cell r="D269" t="str">
            <v xml:space="preserve">AAKULA SRI VARDHAN </v>
          </cell>
        </row>
        <row r="270">
          <cell r="C270">
            <v>250371509006</v>
          </cell>
          <cell r="D270" t="str">
            <v>ADAPA BHUVANA SRI</v>
          </cell>
        </row>
        <row r="271">
          <cell r="C271">
            <v>250371509009</v>
          </cell>
          <cell r="D271" t="str">
            <v xml:space="preserve">ADIREDDY SAI GITHIKA SRAVYA </v>
          </cell>
        </row>
        <row r="272">
          <cell r="C272">
            <v>250371509016</v>
          </cell>
          <cell r="D272" t="str">
            <v xml:space="preserve">ARJILLI KIRAN </v>
          </cell>
        </row>
        <row r="273">
          <cell r="C273">
            <v>250371509018</v>
          </cell>
          <cell r="D273" t="str">
            <v xml:space="preserve">BACHHALA SUKEERTHANA </v>
          </cell>
        </row>
        <row r="274">
          <cell r="C274">
            <v>250371509022</v>
          </cell>
          <cell r="D274" t="str">
            <v xml:space="preserve">BALAGUDI JNANENDRA BHAVANI PRASAD </v>
          </cell>
        </row>
        <row r="275">
          <cell r="C275">
            <v>250371509026</v>
          </cell>
          <cell r="D275" t="str">
            <v xml:space="preserve">BANTUPALLI VARALAKSHMI </v>
          </cell>
        </row>
        <row r="276">
          <cell r="C276">
            <v>250371509027</v>
          </cell>
          <cell r="D276" t="str">
            <v xml:space="preserve">BATHINA SATYA DURGA TULASI TEJA HARSHITHA </v>
          </cell>
        </row>
        <row r="277">
          <cell r="C277">
            <v>250371509028</v>
          </cell>
          <cell r="D277" t="str">
            <v xml:space="preserve">BEERA BLESSY </v>
          </cell>
        </row>
        <row r="278">
          <cell r="C278">
            <v>250371509036</v>
          </cell>
          <cell r="D278" t="str">
            <v xml:space="preserve">BONAM USHA MAHALAKSHMI MANI </v>
          </cell>
        </row>
        <row r="279">
          <cell r="C279">
            <v>250371509049</v>
          </cell>
          <cell r="D279" t="str">
            <v xml:space="preserve">CHEVVAKULA NANDA KISHORE </v>
          </cell>
        </row>
        <row r="280">
          <cell r="C280">
            <v>250371509051</v>
          </cell>
          <cell r="D280" t="str">
            <v xml:space="preserve">CHILUKOTI NAGENDRA KUMAR </v>
          </cell>
        </row>
        <row r="281">
          <cell r="C281">
            <v>250371509062</v>
          </cell>
          <cell r="D281" t="str">
            <v xml:space="preserve">DASARI JAYARAJ </v>
          </cell>
        </row>
        <row r="282">
          <cell r="C282">
            <v>250371509065</v>
          </cell>
          <cell r="D282" t="str">
            <v xml:space="preserve">DESINEEDI SIVA LAKSHMI </v>
          </cell>
        </row>
        <row r="283">
          <cell r="C283">
            <v>250371509067</v>
          </cell>
          <cell r="D283" t="str">
            <v xml:space="preserve">DEVARAPU VENKATESH </v>
          </cell>
        </row>
        <row r="284">
          <cell r="C284">
            <v>250371509071</v>
          </cell>
          <cell r="D284" t="str">
            <v>DUPPALAPUDI ESWARA VENKAT PAVAN</v>
          </cell>
        </row>
        <row r="285">
          <cell r="C285">
            <v>250371509078</v>
          </cell>
          <cell r="D285" t="str">
            <v xml:space="preserve">GANDI RUPA LAKSHMI MAHESWARI </v>
          </cell>
        </row>
        <row r="286">
          <cell r="C286">
            <v>250371509080</v>
          </cell>
          <cell r="D286" t="str">
            <v xml:space="preserve">GANGAMALLA SOWMYA </v>
          </cell>
        </row>
        <row r="287">
          <cell r="C287">
            <v>250371509081</v>
          </cell>
          <cell r="D287" t="str">
            <v xml:space="preserve">GANJI AYYAPPA </v>
          </cell>
        </row>
        <row r="288">
          <cell r="C288">
            <v>250371509084</v>
          </cell>
          <cell r="D288" t="str">
            <v xml:space="preserve">GINJALA AJAY PRAVEEN </v>
          </cell>
        </row>
        <row r="289">
          <cell r="C289">
            <v>250371509088</v>
          </cell>
          <cell r="D289" t="str">
            <v xml:space="preserve">GORUSU BHANU PADMAJA REDDY </v>
          </cell>
        </row>
        <row r="290">
          <cell r="C290">
            <v>250371509092</v>
          </cell>
          <cell r="D290" t="str">
            <v xml:space="preserve">GUTTHULA KRISHNA </v>
          </cell>
        </row>
        <row r="291">
          <cell r="C291">
            <v>250371509112</v>
          </cell>
          <cell r="D291" t="str">
            <v xml:space="preserve">KANTE LAKSHMI NAGA CHAITANYA </v>
          </cell>
        </row>
        <row r="292">
          <cell r="C292">
            <v>250371509113</v>
          </cell>
          <cell r="D292" t="str">
            <v xml:space="preserve">KANURI TEJANYA RAM </v>
          </cell>
        </row>
        <row r="293">
          <cell r="C293">
            <v>250371509115</v>
          </cell>
          <cell r="D293" t="str">
            <v xml:space="preserve">KATTA PARAMESH </v>
          </cell>
        </row>
        <row r="294">
          <cell r="C294">
            <v>250371509117</v>
          </cell>
          <cell r="D294" t="str">
            <v xml:space="preserve">KESAVARAPU CHANDRA NAGA VEERA SAI TEJ </v>
          </cell>
        </row>
        <row r="295">
          <cell r="C295">
            <v>250371509118</v>
          </cell>
          <cell r="D295" t="str">
            <v xml:space="preserve">KIRLA DEVI PRIYA </v>
          </cell>
        </row>
        <row r="296">
          <cell r="C296">
            <v>250371509120</v>
          </cell>
          <cell r="D296" t="str">
            <v xml:space="preserve">KODAMATI RAGHUVELA RAJU </v>
          </cell>
        </row>
        <row r="297">
          <cell r="C297">
            <v>250371509124</v>
          </cell>
          <cell r="D297" t="str">
            <v xml:space="preserve">KOLLI VAMSI KRISHNA </v>
          </cell>
        </row>
        <row r="298">
          <cell r="C298">
            <v>250371509130</v>
          </cell>
          <cell r="D298" t="str">
            <v xml:space="preserve">KOPPISETTI VEERA KESHAVANAD </v>
          </cell>
        </row>
        <row r="299">
          <cell r="C299">
            <v>250371509141</v>
          </cell>
          <cell r="D299" t="str">
            <v xml:space="preserve">KOTIKALAPUDI NAGASRI </v>
          </cell>
        </row>
        <row r="300">
          <cell r="C300">
            <v>250371509142</v>
          </cell>
          <cell r="D300" t="str">
            <v xml:space="preserve">KOTIKALAPUDI YAMINI SUBRAHMANYESWARI </v>
          </cell>
        </row>
        <row r="301">
          <cell r="C301">
            <v>250371509150</v>
          </cell>
          <cell r="D301" t="str">
            <v xml:space="preserve">MALIREDDY YAMUNA </v>
          </cell>
        </row>
        <row r="302">
          <cell r="C302">
            <v>250371509154</v>
          </cell>
          <cell r="D302" t="str">
            <v xml:space="preserve">MAMILLAPALLI SAI SHANMUKH </v>
          </cell>
        </row>
        <row r="303">
          <cell r="C303">
            <v>250371509155</v>
          </cell>
          <cell r="D303" t="str">
            <v xml:space="preserve">MANDA MOSHEY REDDY </v>
          </cell>
        </row>
        <row r="304">
          <cell r="C304">
            <v>250371509156</v>
          </cell>
          <cell r="D304" t="str">
            <v xml:space="preserve">MARADA SIRISHA </v>
          </cell>
        </row>
        <row r="305">
          <cell r="C305">
            <v>250371509159</v>
          </cell>
          <cell r="D305" t="str">
            <v xml:space="preserve">MATTAPALLI SRI HARI SAI KRISHNA </v>
          </cell>
        </row>
        <row r="306">
          <cell r="C306">
            <v>250371509161</v>
          </cell>
          <cell r="D306" t="str">
            <v xml:space="preserve">MEDAPATI NAVEENA LAKSHMI </v>
          </cell>
        </row>
        <row r="307">
          <cell r="C307">
            <v>250371509170</v>
          </cell>
          <cell r="D307" t="str">
            <v xml:space="preserve">MOSA VENKATESH </v>
          </cell>
        </row>
        <row r="308">
          <cell r="C308">
            <v>250371509172</v>
          </cell>
          <cell r="D308" t="str">
            <v xml:space="preserve">MULLU HEMA LALITHA SRIVANI </v>
          </cell>
        </row>
        <row r="309">
          <cell r="C309">
            <v>250371509176</v>
          </cell>
          <cell r="D309" t="str">
            <v xml:space="preserve">MYLAPILLI RISHIKA </v>
          </cell>
        </row>
        <row r="310">
          <cell r="C310">
            <v>250371509183</v>
          </cell>
          <cell r="D310" t="str">
            <v xml:space="preserve">NANDURI NAGA VEERA SANTHOSH </v>
          </cell>
        </row>
        <row r="311">
          <cell r="C311">
            <v>250371509186</v>
          </cell>
          <cell r="D311" t="str">
            <v xml:space="preserve">NEELAM VENKATA SATYA SAI SANJANA </v>
          </cell>
        </row>
        <row r="312">
          <cell r="C312">
            <v>250371509197</v>
          </cell>
          <cell r="D312" t="str">
            <v xml:space="preserve">PALLEKALA SUREKHA </v>
          </cell>
        </row>
        <row r="313">
          <cell r="C313">
            <v>250371509227</v>
          </cell>
          <cell r="D313" t="str">
            <v xml:space="preserve">PUNYAMANTHULA PARNIKA KRISHNAVENI </v>
          </cell>
        </row>
        <row r="314">
          <cell r="C314">
            <v>250371509232</v>
          </cell>
          <cell r="D314" t="str">
            <v xml:space="preserve">PYLA DURGA PRASANNA SURYA </v>
          </cell>
        </row>
        <row r="315">
          <cell r="C315">
            <v>250371509235</v>
          </cell>
          <cell r="D315" t="str">
            <v xml:space="preserve">RASAMSETTI DEVIDRAJU </v>
          </cell>
        </row>
        <row r="316">
          <cell r="C316">
            <v>250371509241</v>
          </cell>
          <cell r="D316" t="str">
            <v xml:space="preserve">SALADI VEERAVENKATA BHAVANI JAGAN </v>
          </cell>
        </row>
        <row r="317">
          <cell r="C317">
            <v>250371509247</v>
          </cell>
          <cell r="D317" t="str">
            <v xml:space="preserve">SARESE LOVA SIVA </v>
          </cell>
        </row>
        <row r="318">
          <cell r="C318">
            <v>250371509253</v>
          </cell>
          <cell r="D318" t="str">
            <v xml:space="preserve">SIRUGUDI AKHIL </v>
          </cell>
        </row>
        <row r="319">
          <cell r="C319">
            <v>250371509256</v>
          </cell>
          <cell r="D319" t="str">
            <v xml:space="preserve">SURADA RAMA KRISHNA </v>
          </cell>
        </row>
        <row r="320">
          <cell r="C320">
            <v>250371509260</v>
          </cell>
          <cell r="D320" t="str">
            <v xml:space="preserve">TALLAPU DEVI </v>
          </cell>
        </row>
        <row r="321">
          <cell r="C321">
            <v>250371509261</v>
          </cell>
          <cell r="D321" t="str">
            <v xml:space="preserve">TAMILISETTI RANJITH REDDY </v>
          </cell>
        </row>
        <row r="322">
          <cell r="C322">
            <v>250371509272</v>
          </cell>
          <cell r="D322" t="str">
            <v xml:space="preserve">UDIGA AJAYKUMAR </v>
          </cell>
        </row>
        <row r="323">
          <cell r="C323">
            <v>250371509277</v>
          </cell>
          <cell r="D323" t="str">
            <v xml:space="preserve">VADREVU YUVA RAJ </v>
          </cell>
        </row>
        <row r="324">
          <cell r="C324">
            <v>250371509278</v>
          </cell>
          <cell r="D324" t="str">
            <v xml:space="preserve">VAITLA VEERA SATYA SRI </v>
          </cell>
        </row>
        <row r="325">
          <cell r="C325">
            <v>250371509282</v>
          </cell>
          <cell r="D325" t="str">
            <v xml:space="preserve">VASAMSETTI CHARAN SRI SATYA TEJA </v>
          </cell>
        </row>
        <row r="326">
          <cell r="C326">
            <v>250371509286</v>
          </cell>
          <cell r="D326" t="str">
            <v xml:space="preserve">VATTARA JOHN MOSES </v>
          </cell>
        </row>
        <row r="327">
          <cell r="C327">
            <v>250371509294</v>
          </cell>
          <cell r="D327" t="str">
            <v xml:space="preserve">YAKA VEERA VENKATA DURGA JYOTHI </v>
          </cell>
        </row>
        <row r="328">
          <cell r="C328">
            <v>250371509296</v>
          </cell>
          <cell r="D328" t="str">
            <v xml:space="preserve">YANDAMURI NAVYA </v>
          </cell>
        </row>
        <row r="329">
          <cell r="C329">
            <v>250371509002</v>
          </cell>
          <cell r="D329" t="str">
            <v xml:space="preserve">ABBIREDDY SAKHIYA DEVI </v>
          </cell>
        </row>
        <row r="330">
          <cell r="C330">
            <v>250371509012</v>
          </cell>
          <cell r="D330" t="str">
            <v xml:space="preserve">ALLAMPALLI SWAROOPA </v>
          </cell>
        </row>
        <row r="331">
          <cell r="C331">
            <v>250371509013</v>
          </cell>
          <cell r="D331" t="str">
            <v xml:space="preserve">AMARADHI ABHI KRISHNA </v>
          </cell>
        </row>
        <row r="332">
          <cell r="C332">
            <v>250371509014</v>
          </cell>
          <cell r="D332" t="str">
            <v xml:space="preserve">ANASURI SUNNY SUKESH </v>
          </cell>
        </row>
        <row r="333">
          <cell r="C333">
            <v>250371509020</v>
          </cell>
          <cell r="D333" t="str">
            <v xml:space="preserve">BAGI MEGHANA </v>
          </cell>
        </row>
        <row r="334">
          <cell r="C334">
            <v>250371509024</v>
          </cell>
          <cell r="D334" t="str">
            <v xml:space="preserve">BANDARU TARUN SAI VISWANADH </v>
          </cell>
        </row>
        <row r="335">
          <cell r="C335">
            <v>250371509025</v>
          </cell>
          <cell r="D335" t="str">
            <v xml:space="preserve">BANGARU SHAKEENA </v>
          </cell>
        </row>
        <row r="336">
          <cell r="C336">
            <v>250371509032</v>
          </cell>
          <cell r="D336" t="str">
            <v xml:space="preserve">BILLAKURTHI NAGA JYOTHI PRAVALLIKA </v>
          </cell>
        </row>
        <row r="337">
          <cell r="C337">
            <v>250371509039</v>
          </cell>
          <cell r="D337" t="str">
            <v xml:space="preserve">CHALLA KEERTHANA </v>
          </cell>
        </row>
        <row r="338">
          <cell r="C338">
            <v>250371509046</v>
          </cell>
          <cell r="D338" t="str">
            <v xml:space="preserve">CHEKKA LALITHA </v>
          </cell>
        </row>
        <row r="339">
          <cell r="C339">
            <v>250371509052</v>
          </cell>
          <cell r="D339" t="str">
            <v xml:space="preserve">CHINIBILLI A S VEERA SATYA SRI PRAVALLIKA </v>
          </cell>
        </row>
        <row r="340">
          <cell r="C340">
            <v>250371509055</v>
          </cell>
          <cell r="D340" t="str">
            <v xml:space="preserve">CHODIPALLI JAGANNADHAM </v>
          </cell>
        </row>
        <row r="341">
          <cell r="C341">
            <v>250371509057</v>
          </cell>
          <cell r="D341" t="str">
            <v xml:space="preserve">CHOLLANGI SATYA BHAVANI </v>
          </cell>
        </row>
        <row r="342">
          <cell r="C342">
            <v>250371509059</v>
          </cell>
          <cell r="D342" t="str">
            <v xml:space="preserve">CHUNDRU LAKSHMI GANGADHARARAO </v>
          </cell>
        </row>
        <row r="343">
          <cell r="C343">
            <v>250371509066</v>
          </cell>
          <cell r="D343" t="str">
            <v xml:space="preserve">DEVARA YUVA DURGA LOKESH </v>
          </cell>
        </row>
        <row r="344">
          <cell r="C344">
            <v>250371509076</v>
          </cell>
          <cell r="D344" t="str">
            <v xml:space="preserve">GALI V V SIDDI AVANISH </v>
          </cell>
        </row>
        <row r="345">
          <cell r="C345">
            <v>250371509083</v>
          </cell>
          <cell r="D345" t="str">
            <v xml:space="preserve">GEDDAM NAVEEN KUMAR </v>
          </cell>
        </row>
        <row r="346">
          <cell r="C346">
            <v>250371509097</v>
          </cell>
          <cell r="D346" t="str">
            <v xml:space="preserve">JAGARAPU DIWAKAR </v>
          </cell>
        </row>
        <row r="347">
          <cell r="C347">
            <v>250371509102</v>
          </cell>
          <cell r="D347" t="str">
            <v xml:space="preserve">KADIYALA DEEPAK VENKATA RAMA MANIKANTA </v>
          </cell>
        </row>
        <row r="348">
          <cell r="C348">
            <v>250371509105</v>
          </cell>
          <cell r="D348" t="str">
            <v xml:space="preserve">KAJULURI SRAMIKA </v>
          </cell>
        </row>
        <row r="349">
          <cell r="C349">
            <v>250371509106</v>
          </cell>
          <cell r="D349" t="str">
            <v xml:space="preserve">KAKARAPALLI NAGENDRA </v>
          </cell>
        </row>
        <row r="350">
          <cell r="C350">
            <v>250371509107</v>
          </cell>
          <cell r="D350" t="str">
            <v xml:space="preserve">KAKARAPALLI SAI VIGNESH </v>
          </cell>
        </row>
        <row r="351">
          <cell r="C351">
            <v>250371509119</v>
          </cell>
          <cell r="D351" t="str">
            <v xml:space="preserve">KODAMANCHILI DEVI </v>
          </cell>
        </row>
        <row r="352">
          <cell r="C352">
            <v>250371509122</v>
          </cell>
          <cell r="D352" t="str">
            <v xml:space="preserve">KOLLI MAHANTHI </v>
          </cell>
        </row>
        <row r="353">
          <cell r="C353">
            <v>250371509125</v>
          </cell>
          <cell r="D353" t="str">
            <v xml:space="preserve">KONA DIVAKAR </v>
          </cell>
        </row>
        <row r="354">
          <cell r="C354">
            <v>250371509126</v>
          </cell>
          <cell r="D354" t="str">
            <v xml:space="preserve">KONA MOULYA SRI LAKSHMI </v>
          </cell>
        </row>
        <row r="355">
          <cell r="C355">
            <v>250371509129</v>
          </cell>
          <cell r="D355" t="str">
            <v xml:space="preserve">KOPPISETTI NAGACHAKRAM </v>
          </cell>
        </row>
        <row r="356">
          <cell r="C356">
            <v>250371509135</v>
          </cell>
          <cell r="D356" t="str">
            <v xml:space="preserve">KOSURI PRADEEP </v>
          </cell>
        </row>
        <row r="357">
          <cell r="C357">
            <v>250371509137</v>
          </cell>
          <cell r="D357" t="str">
            <v xml:space="preserve">KOTHA SHARON </v>
          </cell>
        </row>
        <row r="358">
          <cell r="C358">
            <v>250371509153</v>
          </cell>
          <cell r="D358" t="str">
            <v xml:space="preserve">MAMIDI JAHNAVI </v>
          </cell>
        </row>
        <row r="359">
          <cell r="C359">
            <v>250371509168</v>
          </cell>
          <cell r="D359" t="str">
            <v xml:space="preserve">MIRIYALA SOWBHAGYA BALAJI GANESH </v>
          </cell>
        </row>
        <row r="360">
          <cell r="C360">
            <v>250371509173</v>
          </cell>
          <cell r="D360" t="str">
            <v xml:space="preserve">MULUKURI RAMYA </v>
          </cell>
        </row>
        <row r="361">
          <cell r="C361">
            <v>250371509174</v>
          </cell>
          <cell r="D361" t="str">
            <v>MURUKURTHI VIJAY</v>
          </cell>
        </row>
        <row r="362">
          <cell r="C362">
            <v>250371509178</v>
          </cell>
          <cell r="D362" t="str">
            <v xml:space="preserve">NAKKA SANDHYA </v>
          </cell>
        </row>
        <row r="363">
          <cell r="C363">
            <v>250371509179</v>
          </cell>
          <cell r="D363" t="str">
            <v xml:space="preserve">NALAM SUSMITHA PRIYA </v>
          </cell>
        </row>
        <row r="364">
          <cell r="C364">
            <v>250371509180</v>
          </cell>
          <cell r="D364" t="str">
            <v xml:space="preserve">NALLA BHAVIR </v>
          </cell>
        </row>
        <row r="365">
          <cell r="C365">
            <v>250371509188</v>
          </cell>
          <cell r="D365" t="str">
            <v xml:space="preserve">NUTHANGI VIJAYA NAGA BALA LAKSHMI </v>
          </cell>
        </row>
        <row r="366">
          <cell r="C366">
            <v>250371509189</v>
          </cell>
          <cell r="D366" t="str">
            <v xml:space="preserve">OSUPALLLI EASWAR </v>
          </cell>
        </row>
        <row r="367">
          <cell r="C367">
            <v>250371509192</v>
          </cell>
          <cell r="D367" t="str">
            <v xml:space="preserve">PADALA SUVARNA LATHA </v>
          </cell>
        </row>
        <row r="368">
          <cell r="C368">
            <v>250371509193</v>
          </cell>
          <cell r="D368" t="str">
            <v xml:space="preserve">PADALA SWATHI RUBEENA </v>
          </cell>
        </row>
        <row r="369">
          <cell r="C369">
            <v>250371509194</v>
          </cell>
          <cell r="D369" t="str">
            <v xml:space="preserve">PAILA VIJAYA LAKSHMI </v>
          </cell>
        </row>
        <row r="370">
          <cell r="C370">
            <v>250371509196</v>
          </cell>
          <cell r="D370" t="str">
            <v xml:space="preserve">PALIKA THRIVIKRAM </v>
          </cell>
        </row>
        <row r="371">
          <cell r="C371">
            <v>250371509203</v>
          </cell>
          <cell r="D371" t="str">
            <v xml:space="preserve">PATNALA UDAYA DURGESH </v>
          </cell>
        </row>
        <row r="372">
          <cell r="C372">
            <v>250371509204</v>
          </cell>
          <cell r="D372" t="str">
            <v xml:space="preserve">PATTA VISWANADHA SUBRAMANYAM </v>
          </cell>
        </row>
        <row r="373">
          <cell r="C373">
            <v>250371509215</v>
          </cell>
          <cell r="D373" t="str">
            <v xml:space="preserve">PENUMALA PRAVALLIKA </v>
          </cell>
        </row>
        <row r="374">
          <cell r="C374">
            <v>250371509218</v>
          </cell>
          <cell r="D374" t="str">
            <v xml:space="preserve">PEYYALA VENKATA JAGADEESH </v>
          </cell>
        </row>
        <row r="375">
          <cell r="C375">
            <v>250371509219</v>
          </cell>
          <cell r="D375" t="str">
            <v xml:space="preserve">PINAPOTHU ABHISHEK VARMA </v>
          </cell>
        </row>
        <row r="376">
          <cell r="C376">
            <v>250371509226</v>
          </cell>
          <cell r="D376" t="str">
            <v xml:space="preserve">PUNYAMANTHULA ASWINI </v>
          </cell>
        </row>
        <row r="377">
          <cell r="C377">
            <v>250371509244</v>
          </cell>
          <cell r="D377" t="str">
            <v xml:space="preserve">SANKA MAHITHA </v>
          </cell>
        </row>
        <row r="378">
          <cell r="C378">
            <v>250371509252</v>
          </cell>
          <cell r="D378" t="str">
            <v xml:space="preserve">SIDDABATHULA SRI NAGA PRAVEEN RAM </v>
          </cell>
        </row>
        <row r="379">
          <cell r="C379">
            <v>250371509255</v>
          </cell>
          <cell r="D379" t="str">
            <v xml:space="preserve">SORNAPUDI MANOJ SAI VEERENDRA </v>
          </cell>
        </row>
        <row r="380">
          <cell r="C380">
            <v>250371509257</v>
          </cell>
          <cell r="D380" t="str">
            <v xml:space="preserve">SURLA VASANTHA </v>
          </cell>
        </row>
        <row r="381">
          <cell r="C381">
            <v>250371509259</v>
          </cell>
          <cell r="D381" t="str">
            <v xml:space="preserve">TALATAM CHARAN TEJA </v>
          </cell>
        </row>
        <row r="382">
          <cell r="C382">
            <v>250371509266</v>
          </cell>
          <cell r="D382" t="str">
            <v xml:space="preserve">THOTAKURA SWATHI SURYA KIRAN </v>
          </cell>
        </row>
        <row r="383">
          <cell r="C383">
            <v>250371509269</v>
          </cell>
          <cell r="D383" t="str">
            <v xml:space="preserve">TIVARI PRITHVI SAI SURAJ </v>
          </cell>
        </row>
        <row r="384">
          <cell r="C384">
            <v>250371509271</v>
          </cell>
          <cell r="D384" t="str">
            <v xml:space="preserve">TUMMALAPALLI DEVA KUMAR </v>
          </cell>
        </row>
        <row r="385">
          <cell r="C385">
            <v>250371509275</v>
          </cell>
          <cell r="D385" t="str">
            <v>VADAGABATHULA SURYA VINAY</v>
          </cell>
        </row>
        <row r="386">
          <cell r="C386">
            <v>250371509287</v>
          </cell>
          <cell r="D386" t="str">
            <v xml:space="preserve">VEELI BHARGAVI SATYA MAHALAKSHMI </v>
          </cell>
        </row>
        <row r="387">
          <cell r="C387">
            <v>250371509293</v>
          </cell>
          <cell r="D387" t="str">
            <v xml:space="preserve">VUNDAVILLI SATYA SUVARCHALA </v>
          </cell>
        </row>
        <row r="388">
          <cell r="C388">
            <v>250371509004</v>
          </cell>
          <cell r="D388" t="str">
            <v xml:space="preserve">ADABALA NIKHIL </v>
          </cell>
        </row>
        <row r="389">
          <cell r="C389">
            <v>250371509010</v>
          </cell>
          <cell r="D389" t="str">
            <v xml:space="preserve">AKKIREDDY PRIYANKA </v>
          </cell>
        </row>
        <row r="390">
          <cell r="C390">
            <v>250371509011</v>
          </cell>
          <cell r="D390" t="str">
            <v xml:space="preserve">AKULA AKSHAYA KUMAR </v>
          </cell>
        </row>
        <row r="391">
          <cell r="C391">
            <v>250371509015</v>
          </cell>
          <cell r="D391" t="str">
            <v xml:space="preserve">APPIKONDA GOWTHAM </v>
          </cell>
        </row>
        <row r="392">
          <cell r="C392">
            <v>250371509023</v>
          </cell>
          <cell r="D392" t="str">
            <v xml:space="preserve">BANDARU SARATH KUMAR </v>
          </cell>
        </row>
        <row r="393">
          <cell r="C393">
            <v>250371509030</v>
          </cell>
          <cell r="D393" t="str">
            <v xml:space="preserve">BENUGU NIKHIL ESWARA RAO </v>
          </cell>
        </row>
        <row r="394">
          <cell r="C394">
            <v>250371509031</v>
          </cell>
          <cell r="D394" t="str">
            <v xml:space="preserve">BETHA DINESH VENKATA KUMAR </v>
          </cell>
        </row>
        <row r="395">
          <cell r="C395">
            <v>250371509047</v>
          </cell>
          <cell r="D395" t="str">
            <v xml:space="preserve">CHEKKA SANJANA </v>
          </cell>
        </row>
        <row r="396">
          <cell r="C396">
            <v>250371509050</v>
          </cell>
          <cell r="D396" t="str">
            <v xml:space="preserve">CHIKKAM PAVAN MANIDEEP </v>
          </cell>
        </row>
        <row r="397">
          <cell r="C397">
            <v>250371509060</v>
          </cell>
          <cell r="D397" t="str">
            <v xml:space="preserve">DANGETI DEEPTHI </v>
          </cell>
        </row>
        <row r="398">
          <cell r="C398">
            <v>250371509069</v>
          </cell>
          <cell r="D398" t="str">
            <v xml:space="preserve">DODDIPATLA RAVI TEJA </v>
          </cell>
        </row>
        <row r="399">
          <cell r="C399">
            <v>250371509070</v>
          </cell>
          <cell r="D399" t="str">
            <v xml:space="preserve">DONTHALA SAMPATH KUMAR </v>
          </cell>
        </row>
        <row r="400">
          <cell r="C400">
            <v>250371509072</v>
          </cell>
          <cell r="D400" t="str">
            <v xml:space="preserve">DURYODHANULA TARUN KUMAR </v>
          </cell>
        </row>
        <row r="401">
          <cell r="C401">
            <v>250371509073</v>
          </cell>
          <cell r="D401" t="str">
            <v xml:space="preserve">EETHA RENUKA </v>
          </cell>
        </row>
        <row r="402">
          <cell r="C402">
            <v>250371509079</v>
          </cell>
          <cell r="D402" t="str">
            <v xml:space="preserve">GANDI VEERA SURYANARAYANA </v>
          </cell>
        </row>
        <row r="403">
          <cell r="C403">
            <v>250371509089</v>
          </cell>
          <cell r="D403" t="str">
            <v xml:space="preserve">GUBBALA DONICA VAISHNAVI </v>
          </cell>
        </row>
        <row r="404">
          <cell r="C404">
            <v>250371509096</v>
          </cell>
          <cell r="D404" t="str">
            <v xml:space="preserve">JAGANNADHA BHAGYA LAKSHMI </v>
          </cell>
        </row>
        <row r="405">
          <cell r="C405">
            <v>250371509098</v>
          </cell>
          <cell r="D405" t="str">
            <v xml:space="preserve">JAKKI DEEPIKA </v>
          </cell>
        </row>
        <row r="406">
          <cell r="C406">
            <v>250371509108</v>
          </cell>
          <cell r="D406" t="str">
            <v xml:space="preserve">KAKARAPALLI VENKAT </v>
          </cell>
        </row>
        <row r="407">
          <cell r="C407">
            <v>250371509109</v>
          </cell>
          <cell r="D407" t="str">
            <v xml:space="preserve">KAKKALA GANAPATHI </v>
          </cell>
        </row>
        <row r="408">
          <cell r="C408">
            <v>250371509132</v>
          </cell>
          <cell r="D408" t="str">
            <v xml:space="preserve">KOPPULA VEERA VENKATA SAI </v>
          </cell>
        </row>
        <row r="409">
          <cell r="C409">
            <v>250371509139</v>
          </cell>
          <cell r="D409" t="str">
            <v xml:space="preserve">KOTHAPALLI S S S S LALITHA </v>
          </cell>
        </row>
        <row r="410">
          <cell r="C410">
            <v>250371509143</v>
          </cell>
          <cell r="D410" t="str">
            <v xml:space="preserve">KUNCHE BLESSY </v>
          </cell>
        </row>
        <row r="411">
          <cell r="C411">
            <v>250371509146</v>
          </cell>
          <cell r="D411" t="str">
            <v xml:space="preserve">LOLLA SIVA SURENDRA </v>
          </cell>
        </row>
        <row r="412">
          <cell r="C412">
            <v>250371509147</v>
          </cell>
          <cell r="D412" t="str">
            <v xml:space="preserve">MADEPALLI SURESH </v>
          </cell>
        </row>
        <row r="413">
          <cell r="C413">
            <v>250371509148</v>
          </cell>
          <cell r="D413" t="str">
            <v xml:space="preserve">MAGAPU VENKATAVEERASATYA SURYAAGNIHOTHRUDU </v>
          </cell>
        </row>
        <row r="414">
          <cell r="C414">
            <v>250371509149</v>
          </cell>
          <cell r="D414" t="str">
            <v xml:space="preserve">MAGAPU VIJAY </v>
          </cell>
        </row>
        <row r="415">
          <cell r="C415">
            <v>250371509160</v>
          </cell>
          <cell r="D415" t="str">
            <v xml:space="preserve">MATTAPARTHI KALA VENKATA RAMANA </v>
          </cell>
        </row>
        <row r="416">
          <cell r="C416">
            <v>250371509164</v>
          </cell>
          <cell r="D416" t="str">
            <v xml:space="preserve">MEKA VEERA NAGESWARI </v>
          </cell>
        </row>
        <row r="417">
          <cell r="C417">
            <v>250371509169</v>
          </cell>
          <cell r="D417" t="str">
            <v xml:space="preserve">MOHAMMED SADHIK </v>
          </cell>
        </row>
        <row r="418">
          <cell r="C418">
            <v>250371509171</v>
          </cell>
          <cell r="D418" t="str">
            <v xml:space="preserve">MUKALA DEVA DURGA PRAVEEN </v>
          </cell>
        </row>
        <row r="419">
          <cell r="C419">
            <v>250371509177</v>
          </cell>
          <cell r="D419" t="str">
            <v xml:space="preserve">NAGAM DIVYA RAMANI </v>
          </cell>
        </row>
        <row r="420">
          <cell r="C420">
            <v>250371509181</v>
          </cell>
          <cell r="D420" t="str">
            <v xml:space="preserve">NALLAREDDY SUBHADATTU </v>
          </cell>
        </row>
        <row r="421">
          <cell r="C421">
            <v>250371509182</v>
          </cell>
          <cell r="D421" t="str">
            <v xml:space="preserve">NANDIKOLLA BALA GANGADHAR </v>
          </cell>
        </row>
        <row r="422">
          <cell r="C422">
            <v>250371509190</v>
          </cell>
          <cell r="D422" t="str">
            <v xml:space="preserve">PABBINEEDI VEERA DURGA PAVAN KUMAR </v>
          </cell>
        </row>
        <row r="423">
          <cell r="C423">
            <v>250371509191</v>
          </cell>
          <cell r="D423" t="str">
            <v xml:space="preserve">PADALA MAHALAKSHMI </v>
          </cell>
        </row>
        <row r="424">
          <cell r="C424">
            <v>250371509195</v>
          </cell>
          <cell r="D424" t="str">
            <v xml:space="preserve">PALIKA CHANDRIKA </v>
          </cell>
        </row>
        <row r="425">
          <cell r="C425">
            <v>250371509198</v>
          </cell>
          <cell r="D425" t="str">
            <v>PALUPOLU NISSI</v>
          </cell>
        </row>
        <row r="426">
          <cell r="C426">
            <v>250371509199</v>
          </cell>
          <cell r="D426" t="str">
            <v xml:space="preserve">PAMPANA VEERANJANEYULU </v>
          </cell>
        </row>
        <row r="427">
          <cell r="C427">
            <v>250371509200</v>
          </cell>
          <cell r="D427" t="str">
            <v xml:space="preserve">PAPPU RESHMA </v>
          </cell>
        </row>
        <row r="428">
          <cell r="C428">
            <v>250371509206</v>
          </cell>
          <cell r="D428" t="str">
            <v xml:space="preserve">PEETHALA DEVA RISHI </v>
          </cell>
        </row>
        <row r="429">
          <cell r="C429">
            <v>250371509207</v>
          </cell>
          <cell r="D429" t="str">
            <v xml:space="preserve">PEMMADI LAKSHMINARAYANA </v>
          </cell>
        </row>
        <row r="430">
          <cell r="C430">
            <v>250371509211</v>
          </cell>
          <cell r="D430" t="str">
            <v xml:space="preserve">PENKEY HARI PRIYA </v>
          </cell>
        </row>
        <row r="431">
          <cell r="C431">
            <v>250371509212</v>
          </cell>
          <cell r="D431" t="str">
            <v xml:space="preserve">PENKEY SAI HARSHA </v>
          </cell>
        </row>
        <row r="432">
          <cell r="C432">
            <v>250371509214</v>
          </cell>
          <cell r="D432" t="str">
            <v xml:space="preserve">PENTAPATI SRI KRISHNA PRABHAKAR </v>
          </cell>
        </row>
        <row r="433">
          <cell r="C433">
            <v>250371509225</v>
          </cell>
          <cell r="D433" t="str">
            <v xml:space="preserve">PUNYAMANTHULA AKHIL </v>
          </cell>
        </row>
        <row r="434">
          <cell r="C434">
            <v>250371509229</v>
          </cell>
          <cell r="D434" t="str">
            <v xml:space="preserve">PUPPALA JASWANTH </v>
          </cell>
        </row>
        <row r="435">
          <cell r="C435">
            <v>250371509234</v>
          </cell>
          <cell r="D435" t="str">
            <v xml:space="preserve">RAMARLAPUDI SATYA SAI DURGA PRASAD </v>
          </cell>
        </row>
        <row r="436">
          <cell r="C436">
            <v>250371509239</v>
          </cell>
          <cell r="D436" t="str">
            <v xml:space="preserve">SADANALA PASU GANAPATHI </v>
          </cell>
        </row>
        <row r="437">
          <cell r="C437">
            <v>250371509242</v>
          </cell>
          <cell r="D437" t="str">
            <v xml:space="preserve">SANA VENKATA SATYA </v>
          </cell>
        </row>
        <row r="438">
          <cell r="C438">
            <v>250371509246</v>
          </cell>
          <cell r="D438" t="str">
            <v xml:space="preserve">SARAKANAM SRI THRISHOR </v>
          </cell>
        </row>
        <row r="439">
          <cell r="C439">
            <v>250371509251</v>
          </cell>
          <cell r="D439" t="str">
            <v xml:space="preserve">SHEIK AHMAD </v>
          </cell>
        </row>
        <row r="440">
          <cell r="C440">
            <v>250371509270</v>
          </cell>
          <cell r="D440" t="str">
            <v xml:space="preserve">TOGARU MAHARAM </v>
          </cell>
        </row>
        <row r="441">
          <cell r="C441">
            <v>250371509273</v>
          </cell>
          <cell r="D441" t="str">
            <v xml:space="preserve">UKKUSURI VENKATA RAM SURYA </v>
          </cell>
        </row>
        <row r="442">
          <cell r="C442">
            <v>250371509276</v>
          </cell>
          <cell r="D442" t="str">
            <v xml:space="preserve">VADAPALLI SRI PRABHAVATHI </v>
          </cell>
        </row>
        <row r="443">
          <cell r="C443">
            <v>250371509284</v>
          </cell>
          <cell r="D443" t="str">
            <v xml:space="preserve">VASAMSETTI PAVANI VENKATESWARI </v>
          </cell>
        </row>
        <row r="444">
          <cell r="C444">
            <v>250371509290</v>
          </cell>
          <cell r="D444" t="str">
            <v xml:space="preserve">VEMULA SHIVA </v>
          </cell>
        </row>
        <row r="445">
          <cell r="C445">
            <v>250371509295</v>
          </cell>
          <cell r="D445" t="str">
            <v xml:space="preserve">YANAMADALA POORNA ARAVIND KUMAR </v>
          </cell>
        </row>
        <row r="446">
          <cell r="C446">
            <v>250371509297</v>
          </cell>
          <cell r="D446" t="str">
            <v xml:space="preserve">YARRAMNEEDI TEJA SRI </v>
          </cell>
        </row>
        <row r="447">
          <cell r="C447">
            <v>250371509300</v>
          </cell>
          <cell r="D447" t="str">
            <v xml:space="preserve">YERUBANDI VEERA SAI ASWANTH </v>
          </cell>
        </row>
        <row r="448">
          <cell r="C448">
            <v>250371509007</v>
          </cell>
          <cell r="D448" t="str">
            <v xml:space="preserve">ADAPA SAI MAHESH </v>
          </cell>
        </row>
        <row r="449">
          <cell r="C449">
            <v>250371509021</v>
          </cell>
          <cell r="D449" t="str">
            <v xml:space="preserve">BAHUROJU VINOD </v>
          </cell>
        </row>
        <row r="450">
          <cell r="C450">
            <v>250371509029</v>
          </cell>
          <cell r="D450" t="str">
            <v xml:space="preserve">BEJAVADA RUDDI NAGA CHARAN TEJA </v>
          </cell>
        </row>
        <row r="451">
          <cell r="C451">
            <v>250371509038</v>
          </cell>
          <cell r="D451" t="str">
            <v xml:space="preserve">BUDDANA PADMA SRI DATTA CHANDRA NARAYANI </v>
          </cell>
        </row>
        <row r="452">
          <cell r="C452">
            <v>250371509040</v>
          </cell>
          <cell r="D452" t="str">
            <v xml:space="preserve">CHALLA PRALAYA GANGA LAKSHMI </v>
          </cell>
        </row>
        <row r="453">
          <cell r="C453">
            <v>250371509041</v>
          </cell>
          <cell r="D453" t="str">
            <v xml:space="preserve">CHALLA SATYA VENKATESH </v>
          </cell>
        </row>
        <row r="454">
          <cell r="C454">
            <v>250371509043</v>
          </cell>
          <cell r="D454" t="str">
            <v xml:space="preserve">CHANDALA PAVAN TRINADH </v>
          </cell>
        </row>
        <row r="455">
          <cell r="C455">
            <v>250371509048</v>
          </cell>
          <cell r="D455" t="str">
            <v xml:space="preserve">CHELLURI Y V V NAGA AMRUTHA </v>
          </cell>
        </row>
        <row r="456">
          <cell r="C456">
            <v>250371509053</v>
          </cell>
          <cell r="D456" t="str">
            <v xml:space="preserve">CHINTALAPUDI POORNA BHANU TEJA </v>
          </cell>
        </row>
        <row r="457">
          <cell r="C457">
            <v>250371509054</v>
          </cell>
          <cell r="D457" t="str">
            <v xml:space="preserve">CHINTAPALLI VINAY </v>
          </cell>
        </row>
        <row r="458">
          <cell r="C458">
            <v>250371509056</v>
          </cell>
          <cell r="D458" t="str">
            <v xml:space="preserve">CHOKKAAKULA VENKATA DURGA RAM CHARAN </v>
          </cell>
        </row>
        <row r="459">
          <cell r="C459">
            <v>250371509061</v>
          </cell>
          <cell r="D459" t="str">
            <v xml:space="preserve">DARAPU ISHWARYA </v>
          </cell>
        </row>
        <row r="460">
          <cell r="C460">
            <v>250371509064</v>
          </cell>
          <cell r="D460" t="str">
            <v xml:space="preserve">DATLA CHANDRAKALA </v>
          </cell>
        </row>
        <row r="461">
          <cell r="C461">
            <v>250371509068</v>
          </cell>
          <cell r="D461" t="str">
            <v xml:space="preserve">DEVU SRI SADANANDA KUMAR </v>
          </cell>
        </row>
        <row r="462">
          <cell r="C462">
            <v>250371509075</v>
          </cell>
          <cell r="D462" t="str">
            <v xml:space="preserve">GABU SURYA TEJA </v>
          </cell>
        </row>
        <row r="463">
          <cell r="C463">
            <v>250371509077</v>
          </cell>
          <cell r="D463" t="str">
            <v xml:space="preserve">GANDI PRABHUDAS </v>
          </cell>
        </row>
        <row r="464">
          <cell r="C464">
            <v>250371509087</v>
          </cell>
          <cell r="D464" t="str">
            <v xml:space="preserve">GORLA RAVITEJA </v>
          </cell>
        </row>
        <row r="465">
          <cell r="C465">
            <v>250371509093</v>
          </cell>
          <cell r="D465" t="str">
            <v xml:space="preserve">GUTTULA BHANU VENKATA RAMANA </v>
          </cell>
        </row>
        <row r="466">
          <cell r="C466">
            <v>250371509094</v>
          </cell>
          <cell r="D466" t="str">
            <v xml:space="preserve">ILLA SRUTHI </v>
          </cell>
        </row>
        <row r="467">
          <cell r="C467">
            <v>250371509100</v>
          </cell>
          <cell r="D467" t="str">
            <v xml:space="preserve">JYOTHULA SURESH </v>
          </cell>
        </row>
        <row r="468">
          <cell r="C468">
            <v>250371509104</v>
          </cell>
          <cell r="D468" t="str">
            <v xml:space="preserve">KAISARLA RUPENDRA KUMAR </v>
          </cell>
        </row>
        <row r="469">
          <cell r="C469">
            <v>250371509111</v>
          </cell>
          <cell r="D469" t="str">
            <v xml:space="preserve">KAMMILI KRISHNA RAMA TULASI </v>
          </cell>
        </row>
        <row r="470">
          <cell r="C470">
            <v>250371509114</v>
          </cell>
          <cell r="D470" t="str">
            <v xml:space="preserve">KASUKURTHI JAGATH SRI SANJAY CHOWDARY </v>
          </cell>
        </row>
        <row r="471">
          <cell r="C471">
            <v>250371509121</v>
          </cell>
          <cell r="D471" t="str">
            <v xml:space="preserve">KOLA BHARATH KUMAR </v>
          </cell>
        </row>
        <row r="472">
          <cell r="C472">
            <v>250371509127</v>
          </cell>
          <cell r="D472" t="str">
            <v xml:space="preserve">KONDAPALLI TEJA SAI VARDHAN </v>
          </cell>
        </row>
        <row r="473">
          <cell r="C473">
            <v>250371509131</v>
          </cell>
          <cell r="D473" t="str">
            <v xml:space="preserve">KOPPISETTI VINOHARI </v>
          </cell>
        </row>
        <row r="474">
          <cell r="C474">
            <v>250371509134</v>
          </cell>
          <cell r="D474" t="str">
            <v xml:space="preserve">KORNI VENKATA SRIJA </v>
          </cell>
        </row>
        <row r="475">
          <cell r="C475">
            <v>250371509157</v>
          </cell>
          <cell r="D475" t="str">
            <v xml:space="preserve">MARISETTI LAKSHMI PRASANTHI </v>
          </cell>
        </row>
        <row r="476">
          <cell r="C476">
            <v>250371509162</v>
          </cell>
          <cell r="D476" t="str">
            <v xml:space="preserve">MEDAVARAPU SNIGDHA MANOJNA </v>
          </cell>
        </row>
        <row r="477">
          <cell r="C477">
            <v>250371509166</v>
          </cell>
          <cell r="D477" t="str">
            <v xml:space="preserve">MERUGU SATYAVIKAS </v>
          </cell>
        </row>
        <row r="478">
          <cell r="C478">
            <v>250371509175</v>
          </cell>
          <cell r="D478" t="str">
            <v xml:space="preserve">MUTHYAMPALLI NIKHIL </v>
          </cell>
        </row>
        <row r="479">
          <cell r="C479">
            <v>250371509185</v>
          </cell>
          <cell r="D479" t="str">
            <v xml:space="preserve">NEELAKAYALA VEERA VENKATA SURYA NOOKARAJU </v>
          </cell>
        </row>
        <row r="480">
          <cell r="C480">
            <v>250371509201</v>
          </cell>
          <cell r="D480" t="str">
            <v xml:space="preserve">PARIMALA SRAVANI </v>
          </cell>
        </row>
        <row r="481">
          <cell r="C481">
            <v>250371509202</v>
          </cell>
          <cell r="D481" t="str">
            <v xml:space="preserve">PASUPULETI SRIVEERASRIMAHALAKSHMI BHARATHI </v>
          </cell>
        </row>
        <row r="482">
          <cell r="C482">
            <v>250371509208</v>
          </cell>
          <cell r="D482" t="str">
            <v xml:space="preserve">PENDYALA BHARGAVA KUMAR </v>
          </cell>
        </row>
        <row r="483">
          <cell r="C483">
            <v>250371509217</v>
          </cell>
          <cell r="D483" t="str">
            <v xml:space="preserve">PETTUM RAMESH </v>
          </cell>
        </row>
        <row r="484">
          <cell r="C484">
            <v>250371509220</v>
          </cell>
          <cell r="D484" t="str">
            <v xml:space="preserve">POLARATHI ARAVINDH NUKESH </v>
          </cell>
        </row>
        <row r="485">
          <cell r="C485">
            <v>250371509221</v>
          </cell>
          <cell r="D485" t="str">
            <v xml:space="preserve">PONNADA AVINASH </v>
          </cell>
        </row>
        <row r="486">
          <cell r="C486">
            <v>250371509222</v>
          </cell>
          <cell r="D486" t="str">
            <v xml:space="preserve">POTHULA LAKSHMI SRAVANYA </v>
          </cell>
        </row>
        <row r="487">
          <cell r="C487">
            <v>250371509228</v>
          </cell>
          <cell r="D487" t="str">
            <v xml:space="preserve">PUPPALA AKHILA </v>
          </cell>
        </row>
        <row r="488">
          <cell r="C488">
            <v>250371509230</v>
          </cell>
          <cell r="D488" t="str">
            <v xml:space="preserve">PUPPALA LAKSHMI VENKATA MURALI </v>
          </cell>
        </row>
        <row r="489">
          <cell r="C489">
            <v>250371509231</v>
          </cell>
          <cell r="D489" t="str">
            <v xml:space="preserve">PUPPALA NAGA DURGA SIVA KUMARI </v>
          </cell>
        </row>
        <row r="490">
          <cell r="C490">
            <v>250371509233</v>
          </cell>
          <cell r="D490" t="str">
            <v xml:space="preserve">RACHURI MAHESH SURYA VINAY </v>
          </cell>
        </row>
        <row r="491">
          <cell r="C491">
            <v>250371509237</v>
          </cell>
          <cell r="D491" t="str">
            <v xml:space="preserve">RAYUDU RAJESH </v>
          </cell>
        </row>
        <row r="492">
          <cell r="C492">
            <v>250371509238</v>
          </cell>
          <cell r="D492" t="str">
            <v xml:space="preserve">RONGALA GOWRI SRI SHANKAR </v>
          </cell>
        </row>
        <row r="493">
          <cell r="C493">
            <v>250371509245</v>
          </cell>
          <cell r="D493" t="str">
            <v xml:space="preserve">SARAGADA RENUKA DEVI </v>
          </cell>
        </row>
        <row r="494">
          <cell r="C494">
            <v>250371509248</v>
          </cell>
          <cell r="D494" t="str">
            <v xml:space="preserve">SATHI SATYA KANAKA PRABHA </v>
          </cell>
        </row>
        <row r="495">
          <cell r="C495">
            <v>250371509254</v>
          </cell>
          <cell r="D495" t="str">
            <v xml:space="preserve">SOMALA TEJAS </v>
          </cell>
        </row>
        <row r="496">
          <cell r="C496">
            <v>250371509262</v>
          </cell>
          <cell r="D496" t="str">
            <v xml:space="preserve">TEKIMUDI CHARAN TEJA </v>
          </cell>
        </row>
        <row r="497">
          <cell r="C497">
            <v>250371509263</v>
          </cell>
          <cell r="D497" t="str">
            <v xml:space="preserve">THALARI DHANUNJAY KRISHNA </v>
          </cell>
        </row>
        <row r="498">
          <cell r="C498">
            <v>250371509265</v>
          </cell>
          <cell r="D498" t="str">
            <v xml:space="preserve">THONTEPU VIJAY </v>
          </cell>
        </row>
        <row r="499">
          <cell r="C499">
            <v>250371509267</v>
          </cell>
          <cell r="D499" t="str">
            <v xml:space="preserve">TIBIRISETTI SATYA SAI </v>
          </cell>
        </row>
        <row r="500">
          <cell r="C500">
            <v>250371509268</v>
          </cell>
          <cell r="D500" t="str">
            <v xml:space="preserve">TIRUMALASETTI UDAY SAI CHAKRADHAR </v>
          </cell>
        </row>
        <row r="501">
          <cell r="C501">
            <v>250371509280</v>
          </cell>
          <cell r="D501" t="str">
            <v xml:space="preserve">VARRE VAMSI SAI KRISHNA </v>
          </cell>
        </row>
        <row r="502">
          <cell r="C502">
            <v>250371509285</v>
          </cell>
          <cell r="D502" t="str">
            <v xml:space="preserve">VASIREDDY SATYA BHAVYASRI </v>
          </cell>
        </row>
        <row r="503">
          <cell r="C503">
            <v>250371509289</v>
          </cell>
          <cell r="D503" t="str">
            <v xml:space="preserve">VELUGULA KEERTHANA </v>
          </cell>
        </row>
        <row r="504">
          <cell r="C504">
            <v>250371509291</v>
          </cell>
          <cell r="D504" t="str">
            <v xml:space="preserve">VENTRU GOWTHAM GILL </v>
          </cell>
        </row>
        <row r="505">
          <cell r="C505">
            <v>250371509298</v>
          </cell>
          <cell r="D505" t="str">
            <v xml:space="preserve">YEDDU KIRAN TEJA </v>
          </cell>
        </row>
        <row r="506">
          <cell r="C506">
            <v>250371509005</v>
          </cell>
          <cell r="D506" t="str">
            <v xml:space="preserve">ADABALA SAI VIJAYA </v>
          </cell>
        </row>
        <row r="507">
          <cell r="C507">
            <v>250371509008</v>
          </cell>
          <cell r="D507" t="str">
            <v xml:space="preserve">ADDALA BHASKARA NARASIMHA ABHISHEK </v>
          </cell>
        </row>
        <row r="508">
          <cell r="C508">
            <v>250371509017</v>
          </cell>
          <cell r="D508" t="str">
            <v xml:space="preserve">AYITHIREDDI VENKATALAXMI </v>
          </cell>
        </row>
        <row r="509">
          <cell r="C509">
            <v>250371509019</v>
          </cell>
          <cell r="D509" t="str">
            <v xml:space="preserve">BADRI HADASHYA </v>
          </cell>
        </row>
        <row r="510">
          <cell r="C510">
            <v>250371509033</v>
          </cell>
          <cell r="D510" t="str">
            <v xml:space="preserve">BODDU SRI SAI KRISHNA KUMAR </v>
          </cell>
        </row>
        <row r="511">
          <cell r="C511">
            <v>250371509034</v>
          </cell>
          <cell r="D511" t="str">
            <v xml:space="preserve">BOJJAPU DEEPIKA </v>
          </cell>
        </row>
        <row r="512">
          <cell r="C512">
            <v>250371509035</v>
          </cell>
          <cell r="D512" t="str">
            <v xml:space="preserve">BOLLU UMA MAHESH GANGADHAR KUMAR </v>
          </cell>
        </row>
        <row r="513">
          <cell r="C513">
            <v>250371509037</v>
          </cell>
          <cell r="D513" t="str">
            <v xml:space="preserve">BUDDALA DEVI GANESH </v>
          </cell>
        </row>
        <row r="514">
          <cell r="C514">
            <v>250371509042</v>
          </cell>
          <cell r="D514" t="str">
            <v xml:space="preserve">CHAMANTHI NAGENDRA </v>
          </cell>
        </row>
        <row r="515">
          <cell r="C515">
            <v>250371509044</v>
          </cell>
          <cell r="D515" t="str">
            <v xml:space="preserve">CHEEKATLA VEERA BABU </v>
          </cell>
        </row>
        <row r="516">
          <cell r="C516">
            <v>250371509045</v>
          </cell>
          <cell r="D516" t="str">
            <v xml:space="preserve">CHEKKA JNANESH </v>
          </cell>
        </row>
        <row r="517">
          <cell r="C517">
            <v>250371509058</v>
          </cell>
          <cell r="D517" t="str">
            <v xml:space="preserve">CHUKKALA GOWTHAM KUMAR </v>
          </cell>
        </row>
        <row r="518">
          <cell r="C518">
            <v>250371509063</v>
          </cell>
          <cell r="D518" t="str">
            <v xml:space="preserve">DASARI RAJESH </v>
          </cell>
        </row>
        <row r="519">
          <cell r="C519">
            <v>250371509074</v>
          </cell>
          <cell r="D519" t="str">
            <v>FANELE GOODWILL NCUBE</v>
          </cell>
        </row>
        <row r="520">
          <cell r="C520">
            <v>250371509082</v>
          </cell>
          <cell r="D520" t="str">
            <v xml:space="preserve">GARAGA SRI SATYA SURYA NAGENDRA </v>
          </cell>
        </row>
        <row r="521">
          <cell r="C521">
            <v>250371509085</v>
          </cell>
          <cell r="D521" t="str">
            <v xml:space="preserve">GINJALA SIDDHU TRINADH </v>
          </cell>
        </row>
        <row r="522">
          <cell r="C522">
            <v>250371509086</v>
          </cell>
          <cell r="D522" t="str">
            <v xml:space="preserve">GOPI SRI POOJA KUSUMA </v>
          </cell>
        </row>
        <row r="523">
          <cell r="C523">
            <v>250371509090</v>
          </cell>
          <cell r="D523" t="str">
            <v xml:space="preserve">GUDALA JAI SRIRAMA SANDHEEP </v>
          </cell>
        </row>
        <row r="524">
          <cell r="C524">
            <v>250371509091</v>
          </cell>
          <cell r="D524" t="str">
            <v xml:space="preserve">GUDAVALLI KARTHIK PRASAD </v>
          </cell>
        </row>
        <row r="525">
          <cell r="C525">
            <v>250371509095</v>
          </cell>
          <cell r="D525" t="str">
            <v xml:space="preserve">IPPILI YASWANT </v>
          </cell>
        </row>
        <row r="526">
          <cell r="C526">
            <v>250371509099</v>
          </cell>
          <cell r="D526" t="str">
            <v xml:space="preserve">JUVVALA VENKATA LAKSHMAN </v>
          </cell>
        </row>
        <row r="527">
          <cell r="C527">
            <v>250371509101</v>
          </cell>
          <cell r="D527" t="str">
            <v xml:space="preserve">KADARI VEMAKISHORE </v>
          </cell>
        </row>
        <row r="528">
          <cell r="C528">
            <v>250371509103</v>
          </cell>
          <cell r="D528" t="str">
            <v xml:space="preserve">KADIYALA MOUNIKA NOOKARATNAM </v>
          </cell>
        </row>
        <row r="529">
          <cell r="C529">
            <v>250371509110</v>
          </cell>
          <cell r="D529" t="str">
            <v xml:space="preserve">KALLURI CHANDRA SEKHAR </v>
          </cell>
        </row>
        <row r="530">
          <cell r="C530">
            <v>250371509116</v>
          </cell>
          <cell r="D530" t="str">
            <v xml:space="preserve">KATTAMURI SAI PAVAN KUMAR </v>
          </cell>
        </row>
        <row r="531">
          <cell r="C531">
            <v>250371509123</v>
          </cell>
          <cell r="D531" t="str">
            <v>KOLLI NIKHITHA</v>
          </cell>
        </row>
        <row r="532">
          <cell r="C532">
            <v>250371509128</v>
          </cell>
          <cell r="D532" t="str">
            <v xml:space="preserve">KONDELA MAHESH </v>
          </cell>
        </row>
        <row r="533">
          <cell r="C533">
            <v>250371509133</v>
          </cell>
          <cell r="D533" t="str">
            <v xml:space="preserve">KORAGANGI BHARGAV SAI </v>
          </cell>
        </row>
        <row r="534">
          <cell r="C534">
            <v>250371509136</v>
          </cell>
          <cell r="D534" t="str">
            <v xml:space="preserve">KOTA SHANMUKHESWARA RAO </v>
          </cell>
        </row>
        <row r="535">
          <cell r="C535">
            <v>250371509138</v>
          </cell>
          <cell r="D535" t="str">
            <v xml:space="preserve">KOTHAGUNDU V L N S BHARGAVI DURGA KUMARI </v>
          </cell>
        </row>
        <row r="536">
          <cell r="C536">
            <v>250371509140</v>
          </cell>
          <cell r="D536" t="str">
            <v xml:space="preserve">KOTHURI VENKATESH </v>
          </cell>
        </row>
        <row r="537">
          <cell r="C537">
            <v>250371509144</v>
          </cell>
          <cell r="D537" t="str">
            <v xml:space="preserve">KUNCHE JESSY </v>
          </cell>
        </row>
        <row r="538">
          <cell r="C538">
            <v>250371509151</v>
          </cell>
          <cell r="D538" t="str">
            <v xml:space="preserve">MALLIREDDY ANAND </v>
          </cell>
        </row>
        <row r="539">
          <cell r="C539">
            <v>250371509152</v>
          </cell>
          <cell r="D539" t="str">
            <v xml:space="preserve">MAMIDI DEVI SRI LAKSHMI PRASAD </v>
          </cell>
        </row>
        <row r="540">
          <cell r="C540">
            <v>250371509158</v>
          </cell>
          <cell r="D540" t="str">
            <v xml:space="preserve">MASAVARAPU PRAVEEN SATYA VINAY </v>
          </cell>
        </row>
        <row r="541">
          <cell r="C541">
            <v>250371509163</v>
          </cell>
          <cell r="D541" t="str">
            <v xml:space="preserve">MEDIPUDI VEERA VENKATA APPANNA DORA </v>
          </cell>
        </row>
        <row r="542">
          <cell r="C542">
            <v>250371509165</v>
          </cell>
          <cell r="D542" t="str">
            <v xml:space="preserve">MERNEEDI SIVA JNANESWARA SATISH KUMAR </v>
          </cell>
        </row>
        <row r="543">
          <cell r="C543">
            <v>250371509167</v>
          </cell>
          <cell r="D543" t="str">
            <v xml:space="preserve">MIDDI PRASANNA </v>
          </cell>
        </row>
        <row r="544">
          <cell r="C544">
            <v>250371509184</v>
          </cell>
          <cell r="D544" t="str">
            <v xml:space="preserve">NARALA MANASWI </v>
          </cell>
        </row>
        <row r="545">
          <cell r="C545">
            <v>250371509187</v>
          </cell>
          <cell r="D545" t="str">
            <v xml:space="preserve">NUNE VEERA VENKATA YESU SURYA KEERTHANA </v>
          </cell>
        </row>
        <row r="546">
          <cell r="C546">
            <v>250371509205</v>
          </cell>
          <cell r="D546" t="str">
            <v xml:space="preserve">PEDDIREDDY BANGARUKONDA </v>
          </cell>
        </row>
        <row r="547">
          <cell r="C547">
            <v>250371509209</v>
          </cell>
          <cell r="D547" t="str">
            <v xml:space="preserve">PENKE VENKATESH </v>
          </cell>
        </row>
        <row r="548">
          <cell r="C548">
            <v>250371509210</v>
          </cell>
          <cell r="D548" t="str">
            <v xml:space="preserve">PENKE VENKATESH </v>
          </cell>
        </row>
        <row r="549">
          <cell r="C549">
            <v>250371509213</v>
          </cell>
          <cell r="D549" t="str">
            <v xml:space="preserve">PENNADA CHAITANYA VENKATA SAI RAM </v>
          </cell>
        </row>
        <row r="550">
          <cell r="C550">
            <v>250371509216</v>
          </cell>
          <cell r="D550" t="str">
            <v xml:space="preserve">PEPAKAYALA SATYANANDA KISHORE </v>
          </cell>
        </row>
        <row r="551">
          <cell r="C551">
            <v>250371509223</v>
          </cell>
          <cell r="D551" t="str">
            <v xml:space="preserve">PULI VEERA DURGA MANIKANTA </v>
          </cell>
        </row>
        <row r="552">
          <cell r="C552">
            <v>250371509224</v>
          </cell>
          <cell r="D552" t="str">
            <v xml:space="preserve">PULUGU SATYA VARAPRASAD </v>
          </cell>
        </row>
        <row r="553">
          <cell r="C553">
            <v>250371509236</v>
          </cell>
          <cell r="D553" t="str">
            <v xml:space="preserve">RASAMSETTI SANTHOSH </v>
          </cell>
        </row>
        <row r="554">
          <cell r="C554">
            <v>250371509240</v>
          </cell>
          <cell r="D554" t="str">
            <v xml:space="preserve">SAGARAPU KEERTHI SAI </v>
          </cell>
        </row>
        <row r="555">
          <cell r="C555">
            <v>250371509243</v>
          </cell>
          <cell r="D555" t="str">
            <v xml:space="preserve">SANABOINA BALA RAJU </v>
          </cell>
        </row>
        <row r="556">
          <cell r="C556">
            <v>250371509249</v>
          </cell>
          <cell r="D556" t="str">
            <v xml:space="preserve">SEERAPU HARI PRASAD </v>
          </cell>
        </row>
        <row r="557">
          <cell r="C557">
            <v>250371509250</v>
          </cell>
          <cell r="D557" t="str">
            <v xml:space="preserve">SHAIK BASHEER AHAMAD </v>
          </cell>
        </row>
        <row r="558">
          <cell r="C558">
            <v>250371509258</v>
          </cell>
          <cell r="D558" t="str">
            <v xml:space="preserve">TAGARAMPUDI MOURYA CHANDRA </v>
          </cell>
        </row>
        <row r="559">
          <cell r="C559">
            <v>250371509264</v>
          </cell>
          <cell r="D559" t="str">
            <v xml:space="preserve">THANDRANGI DAVID KUMAR </v>
          </cell>
        </row>
        <row r="560">
          <cell r="C560">
            <v>250371509274</v>
          </cell>
          <cell r="D560" t="str">
            <v xml:space="preserve">ULISETTI TARAKARAMA BADRA PARDHA NARASIMHA </v>
          </cell>
        </row>
        <row r="561">
          <cell r="C561">
            <v>250371509279</v>
          </cell>
          <cell r="D561" t="str">
            <v xml:space="preserve">VALLU BADRINARAYANA </v>
          </cell>
        </row>
        <row r="562">
          <cell r="C562">
            <v>250371509281</v>
          </cell>
          <cell r="D562" t="str">
            <v xml:space="preserve">VARUPULA MANIKYA DURGA </v>
          </cell>
        </row>
        <row r="563">
          <cell r="C563">
            <v>250371509288</v>
          </cell>
          <cell r="D563" t="str">
            <v xml:space="preserve">VELLAMPALLI SIVADEVI </v>
          </cell>
        </row>
        <row r="564">
          <cell r="C564">
            <v>250371509292</v>
          </cell>
          <cell r="D564" t="str">
            <v xml:space="preserve">VUNDAVILLI PALLAVI </v>
          </cell>
        </row>
        <row r="565">
          <cell r="C565">
            <v>250371509299</v>
          </cell>
          <cell r="D565" t="str">
            <v xml:space="preserve">YELLABOYINA MONIKA </v>
          </cell>
        </row>
        <row r="566">
          <cell r="C566">
            <v>250371518002</v>
          </cell>
          <cell r="D566" t="str">
            <v xml:space="preserve">AMALAKOTA DATTA SAI </v>
          </cell>
        </row>
        <row r="567">
          <cell r="C567">
            <v>250371518008</v>
          </cell>
          <cell r="D567" t="str">
            <v xml:space="preserve">BALIREDDY NAGA SUBRAHMANYAM </v>
          </cell>
        </row>
        <row r="568">
          <cell r="C568">
            <v>250371518015</v>
          </cell>
          <cell r="D568" t="str">
            <v xml:space="preserve">BURADA VENKATA SAI ANUDEEP </v>
          </cell>
        </row>
        <row r="569">
          <cell r="C569">
            <v>250371518017</v>
          </cell>
          <cell r="D569" t="str">
            <v xml:space="preserve">CHAKKIDALA VEERA VENKATA DURGA PRASAD </v>
          </cell>
        </row>
        <row r="570">
          <cell r="C570">
            <v>250371518020</v>
          </cell>
          <cell r="D570" t="str">
            <v xml:space="preserve">CHIKKALA MANIKANTA </v>
          </cell>
        </row>
        <row r="571">
          <cell r="C571">
            <v>250371518022</v>
          </cell>
          <cell r="D571" t="str">
            <v xml:space="preserve">CHINNI DURGA SRAVYA </v>
          </cell>
        </row>
        <row r="572">
          <cell r="C572">
            <v>250371518029</v>
          </cell>
          <cell r="D572" t="str">
            <v xml:space="preserve">DANDUMENU VENKATA KIRAN </v>
          </cell>
        </row>
        <row r="573">
          <cell r="C573">
            <v>250371518030</v>
          </cell>
          <cell r="D573" t="str">
            <v xml:space="preserve">DANGETI ASIESH AARON </v>
          </cell>
        </row>
        <row r="574">
          <cell r="C574">
            <v>250371518032</v>
          </cell>
          <cell r="D574" t="str">
            <v xml:space="preserve">DOOSARLAPOODI KODANDA SATYA VENKATESH </v>
          </cell>
        </row>
        <row r="575">
          <cell r="C575">
            <v>250371518035</v>
          </cell>
          <cell r="D575" t="str">
            <v xml:space="preserve">DUVVAPU SRUJANA GLORI </v>
          </cell>
        </row>
        <row r="576">
          <cell r="C576">
            <v>250371518039</v>
          </cell>
          <cell r="D576" t="str">
            <v xml:space="preserve">GANDHAM ASRITHA </v>
          </cell>
        </row>
        <row r="577">
          <cell r="C577">
            <v>250371518051</v>
          </cell>
          <cell r="D577" t="str">
            <v xml:space="preserve">GURRAM VENKATA NAGESWARI </v>
          </cell>
        </row>
        <row r="578">
          <cell r="C578">
            <v>250371518052</v>
          </cell>
          <cell r="D578" t="str">
            <v xml:space="preserve">GURUVILLI SASI VARDHINI </v>
          </cell>
        </row>
        <row r="579">
          <cell r="C579">
            <v>250371518054</v>
          </cell>
          <cell r="D579" t="str">
            <v xml:space="preserve">ILLA BHARGAV </v>
          </cell>
        </row>
        <row r="580">
          <cell r="C580">
            <v>250371518056</v>
          </cell>
          <cell r="D580" t="str">
            <v xml:space="preserve">JAGU MEGANA </v>
          </cell>
        </row>
        <row r="581">
          <cell r="C581">
            <v>250371518060</v>
          </cell>
          <cell r="D581" t="str">
            <v xml:space="preserve">KADALI SRIVALLI </v>
          </cell>
        </row>
        <row r="582">
          <cell r="C582">
            <v>250371518061</v>
          </cell>
          <cell r="D582" t="str">
            <v xml:space="preserve">KADIMISETTI SAI SUBRAHMANYAM </v>
          </cell>
        </row>
        <row r="583">
          <cell r="C583">
            <v>250371518063</v>
          </cell>
          <cell r="D583" t="str">
            <v xml:space="preserve">KAKI SRIVALLI </v>
          </cell>
        </row>
        <row r="584">
          <cell r="C584">
            <v>250371518068</v>
          </cell>
          <cell r="D584" t="str">
            <v xml:space="preserve">KANTE KEERTHANA </v>
          </cell>
        </row>
        <row r="585">
          <cell r="C585">
            <v>250371518069</v>
          </cell>
          <cell r="D585" t="str">
            <v xml:space="preserve">KANURI KARTHIKA </v>
          </cell>
        </row>
        <row r="586">
          <cell r="C586">
            <v>250371518070</v>
          </cell>
          <cell r="D586" t="str">
            <v xml:space="preserve">KARANAM YOGESWARA LAKSHMI CHARAN </v>
          </cell>
        </row>
        <row r="587">
          <cell r="C587">
            <v>250371518071</v>
          </cell>
          <cell r="D587" t="str">
            <v xml:space="preserve">KARRI JAHNAVI SRI LAKSHMI PRASANNA </v>
          </cell>
        </row>
        <row r="588">
          <cell r="C588">
            <v>250371518072</v>
          </cell>
          <cell r="D588" t="str">
            <v xml:space="preserve">KARRI NANDINI </v>
          </cell>
        </row>
        <row r="589">
          <cell r="C589">
            <v>250371518075</v>
          </cell>
          <cell r="D589" t="str">
            <v>KATTA PRAMEELA</v>
          </cell>
        </row>
        <row r="590">
          <cell r="C590">
            <v>250371518077</v>
          </cell>
          <cell r="D590" t="str">
            <v xml:space="preserve">KONADA SURYA KALYANI </v>
          </cell>
        </row>
        <row r="591">
          <cell r="C591">
            <v>250371518079</v>
          </cell>
          <cell r="D591" t="str">
            <v xml:space="preserve">KOPPANA VENKATA ROHITH </v>
          </cell>
        </row>
        <row r="592">
          <cell r="C592">
            <v>250371518081</v>
          </cell>
          <cell r="D592" t="str">
            <v xml:space="preserve">KOVVURI DIVYA SRI </v>
          </cell>
        </row>
        <row r="593">
          <cell r="C593">
            <v>250371518083</v>
          </cell>
          <cell r="D593" t="str">
            <v xml:space="preserve">KUNISETTI ABHISHEKREDDY </v>
          </cell>
        </row>
        <row r="594">
          <cell r="C594">
            <v>250371518086</v>
          </cell>
          <cell r="D594" t="str">
            <v xml:space="preserve">LAVETI THANUSHA </v>
          </cell>
        </row>
        <row r="595">
          <cell r="C595">
            <v>250371518091</v>
          </cell>
          <cell r="D595" t="str">
            <v xml:space="preserve">MAMIDI HIMAHESWARI INDUMATHI </v>
          </cell>
        </row>
        <row r="596">
          <cell r="C596">
            <v>250371518094</v>
          </cell>
          <cell r="D596" t="str">
            <v xml:space="preserve">MATTA VENKATA SAI SIVA SURYA </v>
          </cell>
        </row>
        <row r="597">
          <cell r="C597">
            <v>250371518097</v>
          </cell>
          <cell r="D597" t="str">
            <v xml:space="preserve">MOHAMMED ARIFA </v>
          </cell>
        </row>
        <row r="598">
          <cell r="C598">
            <v>250371518102</v>
          </cell>
          <cell r="D598" t="str">
            <v xml:space="preserve">MUDADA DURGA BHAVANI </v>
          </cell>
        </row>
        <row r="599">
          <cell r="C599">
            <v>250371518103</v>
          </cell>
          <cell r="D599" t="str">
            <v xml:space="preserve">MUKKU LEELA PRASUNA KAVYA </v>
          </cell>
        </row>
        <row r="600">
          <cell r="C600">
            <v>250371518104</v>
          </cell>
          <cell r="D600" t="str">
            <v xml:space="preserve">MUMMIDI ARCHANA </v>
          </cell>
        </row>
        <row r="601">
          <cell r="C601">
            <v>250371518106</v>
          </cell>
          <cell r="D601" t="str">
            <v xml:space="preserve">NAKKA NAVACHAITANYA </v>
          </cell>
        </row>
        <row r="602">
          <cell r="C602">
            <v>250371518107</v>
          </cell>
          <cell r="D602" t="str">
            <v xml:space="preserve">NALLA BALA SAI SATYAPADA APPARAO </v>
          </cell>
        </row>
        <row r="603">
          <cell r="C603">
            <v>250371518108</v>
          </cell>
          <cell r="D603" t="str">
            <v xml:space="preserve">NALLAM SURYA NAGA MALLESWARI </v>
          </cell>
        </row>
        <row r="604">
          <cell r="C604">
            <v>250371518109</v>
          </cell>
          <cell r="D604" t="str">
            <v xml:space="preserve">NARLA SOWJANYA </v>
          </cell>
        </row>
        <row r="605">
          <cell r="C605">
            <v>250371518111</v>
          </cell>
          <cell r="D605" t="str">
            <v>NICHINAGUNTA AMANI</v>
          </cell>
        </row>
        <row r="606">
          <cell r="C606">
            <v>250371518113</v>
          </cell>
          <cell r="D606" t="str">
            <v xml:space="preserve">PADALA LOVAGANI </v>
          </cell>
        </row>
        <row r="607">
          <cell r="C607">
            <v>250371518115</v>
          </cell>
          <cell r="D607" t="str">
            <v>PALINKI GANGA</v>
          </cell>
        </row>
        <row r="608">
          <cell r="C608">
            <v>250371518117</v>
          </cell>
          <cell r="D608" t="str">
            <v xml:space="preserve">PATTAMATTA MANOGNYA </v>
          </cell>
        </row>
        <row r="609">
          <cell r="C609">
            <v>250371518121</v>
          </cell>
          <cell r="D609" t="str">
            <v xml:space="preserve">PILLI VENKATA SAI ABHINAV </v>
          </cell>
        </row>
        <row r="610">
          <cell r="C610">
            <v>250371518122</v>
          </cell>
          <cell r="D610" t="str">
            <v xml:space="preserve">PITHANI CHATURYA </v>
          </cell>
        </row>
        <row r="611">
          <cell r="C611">
            <v>250371518123</v>
          </cell>
          <cell r="D611" t="str">
            <v xml:space="preserve">PODILAPU SIRI </v>
          </cell>
        </row>
        <row r="612">
          <cell r="C612">
            <v>250371518127</v>
          </cell>
          <cell r="D612" t="str">
            <v xml:space="preserve">RAJANALA S S S N LAKSHMI PAVANA SAMHITHA </v>
          </cell>
        </row>
        <row r="613">
          <cell r="C613">
            <v>250371518131</v>
          </cell>
          <cell r="D613" t="str">
            <v xml:space="preserve">SADHANALA NAVYA </v>
          </cell>
        </row>
        <row r="614">
          <cell r="C614">
            <v>250371518135</v>
          </cell>
          <cell r="D614" t="str">
            <v xml:space="preserve">SEERAM MANASA </v>
          </cell>
        </row>
        <row r="615">
          <cell r="C615">
            <v>250371518146</v>
          </cell>
          <cell r="D615" t="str">
            <v>VASAMSETTI PREMLAL</v>
          </cell>
        </row>
        <row r="616">
          <cell r="C616">
            <v>250371518152</v>
          </cell>
          <cell r="D616" t="str">
            <v xml:space="preserve">VUYYURI NAGA VEERA VENKATA SAI GANESH </v>
          </cell>
        </row>
        <row r="617">
          <cell r="C617">
            <v>250371518153</v>
          </cell>
          <cell r="D617" t="str">
            <v xml:space="preserve">YELUGUBANTI ANIL KUMAR </v>
          </cell>
        </row>
        <row r="618">
          <cell r="C618">
            <v>250371518001</v>
          </cell>
          <cell r="D618" t="str">
            <v xml:space="preserve">ACHANTA VENKATA ABHIRAMA KRISHNA </v>
          </cell>
        </row>
        <row r="619">
          <cell r="C619">
            <v>250371518003</v>
          </cell>
          <cell r="D619" t="str">
            <v xml:space="preserve">ANKABATHULA DEEPIKA </v>
          </cell>
        </row>
        <row r="620">
          <cell r="C620">
            <v>250371518004</v>
          </cell>
          <cell r="D620" t="str">
            <v xml:space="preserve">ANUSURI MANIKANTA </v>
          </cell>
        </row>
        <row r="621">
          <cell r="C621">
            <v>250371518005</v>
          </cell>
          <cell r="D621" t="str">
            <v xml:space="preserve">ARIBILLI ANUSHA GRACE </v>
          </cell>
        </row>
        <row r="622">
          <cell r="C622">
            <v>250371518007</v>
          </cell>
          <cell r="D622" t="str">
            <v xml:space="preserve">BAIRA VEERA RAGHAVULU </v>
          </cell>
        </row>
        <row r="623">
          <cell r="C623">
            <v>250371518011</v>
          </cell>
          <cell r="D623" t="str">
            <v xml:space="preserve">BEJAWADA CHAKRA SIVA SATYA </v>
          </cell>
        </row>
        <row r="624">
          <cell r="C624">
            <v>250371518013</v>
          </cell>
          <cell r="D624" t="str">
            <v xml:space="preserve">BODDU VEERA SAI RATNA SRI KIRTHY </v>
          </cell>
        </row>
        <row r="625">
          <cell r="C625">
            <v>250371518014</v>
          </cell>
          <cell r="D625" t="str">
            <v xml:space="preserve">BONDA MONIKA NANDINI </v>
          </cell>
        </row>
        <row r="626">
          <cell r="C626">
            <v>250371518019</v>
          </cell>
          <cell r="D626" t="str">
            <v xml:space="preserve">CHEKKA NAVYA SRI </v>
          </cell>
        </row>
        <row r="627">
          <cell r="C627">
            <v>250371518021</v>
          </cell>
          <cell r="D627" t="str">
            <v xml:space="preserve">CHINNALA BHANU KIRAN </v>
          </cell>
        </row>
        <row r="628">
          <cell r="C628">
            <v>250371518023</v>
          </cell>
          <cell r="D628" t="str">
            <v xml:space="preserve">CHINTAPALLI GAYATRI SOWJANYA </v>
          </cell>
        </row>
        <row r="629">
          <cell r="C629">
            <v>250371518024</v>
          </cell>
          <cell r="D629" t="str">
            <v xml:space="preserve">CHINTHAKULA SURENDRA </v>
          </cell>
        </row>
        <row r="630">
          <cell r="C630">
            <v>250371518025</v>
          </cell>
          <cell r="D630" t="str">
            <v xml:space="preserve">CHINTHALA SUBHASH </v>
          </cell>
        </row>
        <row r="631">
          <cell r="C631">
            <v>250371518026</v>
          </cell>
          <cell r="D631" t="str">
            <v xml:space="preserve">CHOLLANGI BHANU PRAKASH </v>
          </cell>
        </row>
        <row r="632">
          <cell r="C632">
            <v>250371518033</v>
          </cell>
          <cell r="D632" t="str">
            <v xml:space="preserve">DORA VEERA SATYA LALITHA NAGA LAKSHMI </v>
          </cell>
        </row>
        <row r="633">
          <cell r="C633">
            <v>250371518034</v>
          </cell>
          <cell r="D633" t="str">
            <v xml:space="preserve">DOSAPADULA VENKATA CHARAN </v>
          </cell>
        </row>
        <row r="634">
          <cell r="C634">
            <v>250371518038</v>
          </cell>
          <cell r="D634" t="str">
            <v xml:space="preserve">GAIPURI CHARAN </v>
          </cell>
        </row>
        <row r="635">
          <cell r="C635">
            <v>250371518042</v>
          </cell>
          <cell r="D635" t="str">
            <v xml:space="preserve">GARIKINA NANI </v>
          </cell>
        </row>
        <row r="636">
          <cell r="C636">
            <v>250371518043</v>
          </cell>
          <cell r="D636" t="str">
            <v xml:space="preserve">GATTI BALA MANASA </v>
          </cell>
        </row>
        <row r="637">
          <cell r="C637">
            <v>250371518044</v>
          </cell>
          <cell r="D637" t="str">
            <v xml:space="preserve">GELLA LAKSHMI PRAMILA </v>
          </cell>
        </row>
        <row r="638">
          <cell r="C638">
            <v>250371518047</v>
          </cell>
          <cell r="D638" t="str">
            <v xml:space="preserve">GONDESI VIHARI </v>
          </cell>
        </row>
        <row r="639">
          <cell r="C639">
            <v>250371518050</v>
          </cell>
          <cell r="D639" t="str">
            <v xml:space="preserve">GUNDUBILLI VENKATA NEERAJ </v>
          </cell>
        </row>
        <row r="640">
          <cell r="C640">
            <v>250371518057</v>
          </cell>
          <cell r="D640" t="str">
            <v>JONNALAGADDA SUBHASH</v>
          </cell>
        </row>
        <row r="641">
          <cell r="C641">
            <v>250371518058</v>
          </cell>
          <cell r="D641" t="str">
            <v xml:space="preserve">JUTTADA MEGHANA </v>
          </cell>
        </row>
        <row r="642">
          <cell r="C642">
            <v>250371518065</v>
          </cell>
          <cell r="D642" t="str">
            <v xml:space="preserve">KALIDINDI ADITYA RISHI RAJU </v>
          </cell>
        </row>
        <row r="643">
          <cell r="C643">
            <v>250371518073</v>
          </cell>
          <cell r="D643" t="str">
            <v>KARRI VEERA GANGA SAI</v>
          </cell>
        </row>
        <row r="644">
          <cell r="C644">
            <v>250371518074</v>
          </cell>
          <cell r="D644" t="str">
            <v>KASIMDEVI YAJNA CHANDRAKALA</v>
          </cell>
        </row>
        <row r="645">
          <cell r="C645">
            <v>250371518080</v>
          </cell>
          <cell r="D645" t="str">
            <v>KOTILINKA SATYA ATCHANNA</v>
          </cell>
        </row>
        <row r="646">
          <cell r="C646">
            <v>250371518082</v>
          </cell>
          <cell r="D646" t="str">
            <v xml:space="preserve">KULLA RESHMA SRI </v>
          </cell>
        </row>
        <row r="647">
          <cell r="C647">
            <v>250371518088</v>
          </cell>
          <cell r="D647" t="str">
            <v xml:space="preserve">MADUGULA AVINASH </v>
          </cell>
        </row>
        <row r="648">
          <cell r="C648">
            <v>250371518090</v>
          </cell>
          <cell r="D648" t="str">
            <v xml:space="preserve">MALLUVALASA VARSHITHA </v>
          </cell>
        </row>
        <row r="649">
          <cell r="C649">
            <v>250371518093</v>
          </cell>
          <cell r="D649" t="str">
            <v xml:space="preserve">MATHURTHI AKHILA </v>
          </cell>
        </row>
        <row r="650">
          <cell r="C650">
            <v>250371518098</v>
          </cell>
          <cell r="D650" t="str">
            <v xml:space="preserve">MOHAMMED FAIZAAN </v>
          </cell>
        </row>
        <row r="651">
          <cell r="C651">
            <v>250371518099</v>
          </cell>
          <cell r="D651" t="str">
            <v xml:space="preserve">MONDUPULANKA GAYATHRI </v>
          </cell>
        </row>
        <row r="652">
          <cell r="C652">
            <v>250371518101</v>
          </cell>
          <cell r="D652" t="str">
            <v xml:space="preserve">MUCHIPALLI VIJAYA JYOTHISHNA SRI </v>
          </cell>
        </row>
        <row r="653">
          <cell r="C653">
            <v>250371518116</v>
          </cell>
          <cell r="D653" t="str">
            <v xml:space="preserve">PAMPANA SAI KUMAR </v>
          </cell>
        </row>
        <row r="654">
          <cell r="C654">
            <v>250371518119</v>
          </cell>
          <cell r="D654" t="str">
            <v xml:space="preserve">PEPAKAYALA HANUMANTHA RAO </v>
          </cell>
        </row>
        <row r="655">
          <cell r="C655">
            <v>250371518120</v>
          </cell>
          <cell r="D655" t="str">
            <v xml:space="preserve">PEPAKAYALA SIVA MANIKANTA </v>
          </cell>
        </row>
        <row r="656">
          <cell r="C656">
            <v>250371518124</v>
          </cell>
          <cell r="D656" t="str">
            <v xml:space="preserve">POLIMERA PRADEEP </v>
          </cell>
        </row>
        <row r="657">
          <cell r="C657">
            <v>250371518125</v>
          </cell>
          <cell r="D657" t="str">
            <v xml:space="preserve">PULAPAKURA SURAJ SAHIL </v>
          </cell>
        </row>
        <row r="658">
          <cell r="C658">
            <v>250371518126</v>
          </cell>
          <cell r="D658" t="str">
            <v xml:space="preserve">PUPPALA MADHU </v>
          </cell>
        </row>
        <row r="659">
          <cell r="C659">
            <v>250371518128</v>
          </cell>
          <cell r="D659" t="str">
            <v xml:space="preserve">RAYUDU KALYAN VEERA NAGENDRA </v>
          </cell>
        </row>
        <row r="660">
          <cell r="C660">
            <v>250371518129</v>
          </cell>
          <cell r="D660" t="str">
            <v xml:space="preserve">REKADI GANGADRI </v>
          </cell>
        </row>
        <row r="661">
          <cell r="C661">
            <v>250371518133</v>
          </cell>
          <cell r="D661" t="str">
            <v xml:space="preserve">SAMUDALAPALEPU HEMANTH SRI NARAYANA </v>
          </cell>
        </row>
        <row r="662">
          <cell r="C662">
            <v>250371518138</v>
          </cell>
          <cell r="D662" t="str">
            <v xml:space="preserve">SHEIK ABDUL WAHAB </v>
          </cell>
        </row>
        <row r="663">
          <cell r="C663">
            <v>250371518139</v>
          </cell>
          <cell r="D663" t="str">
            <v xml:space="preserve">SHIEK USHMAN MITRA </v>
          </cell>
        </row>
        <row r="664">
          <cell r="C664">
            <v>250371518140</v>
          </cell>
          <cell r="D664" t="str">
            <v xml:space="preserve">SIRIPURAPU SANTHOSH KUMAR </v>
          </cell>
        </row>
        <row r="665">
          <cell r="C665">
            <v>250371518141</v>
          </cell>
          <cell r="D665" t="str">
            <v xml:space="preserve">SURISETTI SWAPNA LATHA </v>
          </cell>
        </row>
        <row r="666">
          <cell r="C666">
            <v>250371518144</v>
          </cell>
          <cell r="D666" t="str">
            <v xml:space="preserve">TIBIRISETTI PURNA NAGA SAI CHANDANA </v>
          </cell>
        </row>
        <row r="667">
          <cell r="C667">
            <v>250371518147</v>
          </cell>
          <cell r="D667" t="str">
            <v xml:space="preserve">VASAMSETTI SYAMALA VENKATA KUMARI </v>
          </cell>
        </row>
        <row r="668">
          <cell r="C668">
            <v>250371518006</v>
          </cell>
          <cell r="D668" t="str">
            <v xml:space="preserve">BADAMPUDI RAM SARAN TEJ </v>
          </cell>
        </row>
        <row r="669">
          <cell r="C669">
            <v>250371518009</v>
          </cell>
          <cell r="D669" t="str">
            <v xml:space="preserve">BATTINA YESU RATNAM </v>
          </cell>
        </row>
        <row r="670">
          <cell r="C670">
            <v>250371518010</v>
          </cell>
          <cell r="D670" t="str">
            <v xml:space="preserve">BAVIRISETTI JAGADEESWARI SOWMYA </v>
          </cell>
        </row>
        <row r="671">
          <cell r="C671">
            <v>250371518012</v>
          </cell>
          <cell r="D671" t="str">
            <v xml:space="preserve">BODDU SANTHOSH </v>
          </cell>
        </row>
        <row r="672">
          <cell r="C672">
            <v>250371518016</v>
          </cell>
          <cell r="D672" t="str">
            <v xml:space="preserve">CHAKKAPALLI ROHITH LAKSHMAN </v>
          </cell>
        </row>
        <row r="673">
          <cell r="C673">
            <v>250371518018</v>
          </cell>
          <cell r="D673" t="str">
            <v xml:space="preserve">CHALLA RUPA SIRI </v>
          </cell>
        </row>
        <row r="674">
          <cell r="C674">
            <v>250371518027</v>
          </cell>
          <cell r="D674" t="str">
            <v xml:space="preserve">DADALA SANTHI RAJU </v>
          </cell>
        </row>
        <row r="675">
          <cell r="C675">
            <v>250371518028</v>
          </cell>
          <cell r="D675" t="str">
            <v xml:space="preserve">DANDA SRAVANI </v>
          </cell>
        </row>
        <row r="676">
          <cell r="C676">
            <v>250371518031</v>
          </cell>
          <cell r="D676" t="str">
            <v xml:space="preserve">DESETTI ESWAR </v>
          </cell>
        </row>
        <row r="677">
          <cell r="C677">
            <v>250371518036</v>
          </cell>
          <cell r="D677" t="str">
            <v xml:space="preserve">EEPI AJAY KUMAR </v>
          </cell>
        </row>
        <row r="678">
          <cell r="C678">
            <v>250371518037</v>
          </cell>
          <cell r="D678" t="str">
            <v xml:space="preserve">GADI SARASWATHI </v>
          </cell>
        </row>
        <row r="679">
          <cell r="C679">
            <v>250371518040</v>
          </cell>
          <cell r="D679" t="str">
            <v xml:space="preserve">GANDI SAI TEJA GANGA VAISHNAVI </v>
          </cell>
        </row>
        <row r="680">
          <cell r="C680">
            <v>250371518041</v>
          </cell>
          <cell r="D680" t="str">
            <v xml:space="preserve">GARIKINA JAMES </v>
          </cell>
        </row>
        <row r="681">
          <cell r="C681">
            <v>250371518045</v>
          </cell>
          <cell r="D681" t="str">
            <v xml:space="preserve">GIRIJALA B V S D S MAHESH </v>
          </cell>
        </row>
        <row r="682">
          <cell r="C682">
            <v>250371518046</v>
          </cell>
          <cell r="D682" t="str">
            <v xml:space="preserve">GOLLAPALLI JEYRAM DHARSHIN </v>
          </cell>
        </row>
        <row r="683">
          <cell r="C683">
            <v>250371518048</v>
          </cell>
          <cell r="D683" t="str">
            <v xml:space="preserve">GOWTHU DEVI </v>
          </cell>
        </row>
        <row r="684">
          <cell r="C684">
            <v>250371518049</v>
          </cell>
          <cell r="D684" t="str">
            <v xml:space="preserve">GUDUPU MOHAN RAJU </v>
          </cell>
        </row>
        <row r="685">
          <cell r="C685">
            <v>250371518053</v>
          </cell>
          <cell r="D685" t="str">
            <v xml:space="preserve">GUVVALA AVINASH </v>
          </cell>
        </row>
        <row r="686">
          <cell r="C686">
            <v>250371518055</v>
          </cell>
          <cell r="D686" t="str">
            <v xml:space="preserve">INTI VEERENDRA SAI KUMAR </v>
          </cell>
        </row>
        <row r="687">
          <cell r="C687">
            <v>250371518059</v>
          </cell>
          <cell r="D687" t="str">
            <v xml:space="preserve">JYOTHULA BANGARAM </v>
          </cell>
        </row>
        <row r="688">
          <cell r="C688">
            <v>250371518062</v>
          </cell>
          <cell r="D688" t="str">
            <v xml:space="preserve">KADIYALA GOWTHAM SAI SANKAR </v>
          </cell>
        </row>
        <row r="689">
          <cell r="C689">
            <v>250371518064</v>
          </cell>
          <cell r="D689" t="str">
            <v xml:space="preserve">KALAGARA NAGA KIRAN </v>
          </cell>
        </row>
        <row r="690">
          <cell r="C690">
            <v>250371518066</v>
          </cell>
          <cell r="D690" t="str">
            <v xml:space="preserve">KANDULA SURYA LAKSHMI SAHITHI </v>
          </cell>
        </row>
        <row r="691">
          <cell r="C691">
            <v>250371518067</v>
          </cell>
          <cell r="D691" t="str">
            <v xml:space="preserve">KANKIPATI SAI SARANYA HARSHA </v>
          </cell>
        </row>
        <row r="692">
          <cell r="C692">
            <v>250371518076</v>
          </cell>
          <cell r="D692" t="str">
            <v xml:space="preserve">KOLA SATYA KISHORE </v>
          </cell>
        </row>
        <row r="693">
          <cell r="C693">
            <v>250371518078</v>
          </cell>
          <cell r="D693" t="str">
            <v xml:space="preserve">KONDAPALLI SIRI MANASA </v>
          </cell>
        </row>
        <row r="694">
          <cell r="C694">
            <v>250371518084</v>
          </cell>
          <cell r="D694" t="str">
            <v xml:space="preserve">LAKKASANI DEVI PRUDHVI RAJU </v>
          </cell>
        </row>
        <row r="695">
          <cell r="C695">
            <v>250371518085</v>
          </cell>
          <cell r="D695" t="str">
            <v>LANKE BALAJI</v>
          </cell>
        </row>
        <row r="696">
          <cell r="C696">
            <v>250371518087</v>
          </cell>
          <cell r="D696" t="str">
            <v xml:space="preserve">MADIKI SIVA NAGA SATYANARAYANA </v>
          </cell>
        </row>
        <row r="697">
          <cell r="C697">
            <v>250371518089</v>
          </cell>
          <cell r="D697" t="str">
            <v xml:space="preserve">MAGAPU NAGA DURGA GANGA RAMESH </v>
          </cell>
        </row>
        <row r="698">
          <cell r="C698">
            <v>250371518092</v>
          </cell>
          <cell r="D698" t="str">
            <v xml:space="preserve">MANTHENA SARANYA SREE MADHURI </v>
          </cell>
        </row>
        <row r="699">
          <cell r="C699">
            <v>250371518095</v>
          </cell>
          <cell r="D699" t="str">
            <v xml:space="preserve">MEDAPATI NAGENDRA VARMA </v>
          </cell>
        </row>
        <row r="700">
          <cell r="C700">
            <v>250371518096</v>
          </cell>
          <cell r="D700" t="str">
            <v xml:space="preserve">MOHAMMAD MEHARUNNISA </v>
          </cell>
        </row>
        <row r="701">
          <cell r="C701">
            <v>250371518100</v>
          </cell>
          <cell r="D701" t="str">
            <v xml:space="preserve">MOSALI SAMYUKTHA </v>
          </cell>
        </row>
        <row r="702">
          <cell r="C702">
            <v>250371518105</v>
          </cell>
          <cell r="D702" t="str">
            <v xml:space="preserve">MUPPIDI JHANSI DEVI </v>
          </cell>
        </row>
        <row r="703">
          <cell r="C703">
            <v>250371518110</v>
          </cell>
          <cell r="D703" t="str">
            <v xml:space="preserve">NETI SRIJA </v>
          </cell>
        </row>
        <row r="704">
          <cell r="C704">
            <v>250371518112</v>
          </cell>
          <cell r="D704" t="str">
            <v xml:space="preserve">OGGU APARNA </v>
          </cell>
        </row>
        <row r="705">
          <cell r="C705">
            <v>250371518114</v>
          </cell>
          <cell r="D705" t="str">
            <v xml:space="preserve">PALEPU ROHITH GANGADHAR </v>
          </cell>
        </row>
        <row r="706">
          <cell r="C706">
            <v>250371518118</v>
          </cell>
          <cell r="D706" t="str">
            <v xml:space="preserve">PEDIREDLA NAGA GANGA </v>
          </cell>
        </row>
        <row r="707">
          <cell r="C707">
            <v>250371518130</v>
          </cell>
          <cell r="D707" t="str">
            <v xml:space="preserve">RONGALA DIVYA </v>
          </cell>
        </row>
        <row r="708">
          <cell r="C708">
            <v>250371518132</v>
          </cell>
          <cell r="D708" t="str">
            <v xml:space="preserve">SAMIREDDY HEMANTH </v>
          </cell>
        </row>
        <row r="709">
          <cell r="C709">
            <v>250371518134</v>
          </cell>
          <cell r="D709" t="str">
            <v xml:space="preserve">SEEMUSURU HARISH </v>
          </cell>
        </row>
        <row r="710">
          <cell r="C710">
            <v>250371518136</v>
          </cell>
          <cell r="D710" t="str">
            <v xml:space="preserve">SHAIK SUBHANI </v>
          </cell>
        </row>
        <row r="711">
          <cell r="C711">
            <v>250371518137</v>
          </cell>
          <cell r="D711" t="str">
            <v xml:space="preserve">SHAIK USMAN </v>
          </cell>
        </row>
        <row r="712">
          <cell r="C712">
            <v>250371518142</v>
          </cell>
          <cell r="D712" t="str">
            <v xml:space="preserve">THANETI DURGA </v>
          </cell>
        </row>
        <row r="713">
          <cell r="C713">
            <v>250371518143</v>
          </cell>
          <cell r="D713" t="str">
            <v xml:space="preserve">THIPPANA HEMA SRI SIVA SANKAR </v>
          </cell>
        </row>
        <row r="714">
          <cell r="C714">
            <v>250371518145</v>
          </cell>
          <cell r="D714" t="str">
            <v xml:space="preserve">UPPALAPU SWAMY CHARAN </v>
          </cell>
        </row>
        <row r="715">
          <cell r="C715">
            <v>250371518148</v>
          </cell>
          <cell r="D715" t="str">
            <v xml:space="preserve">VASIREDDI SATYA GANESH </v>
          </cell>
        </row>
        <row r="716">
          <cell r="C716">
            <v>250371518149</v>
          </cell>
          <cell r="D716" t="str">
            <v xml:space="preserve">VASIREDDI SUSHMA SRI </v>
          </cell>
        </row>
        <row r="717">
          <cell r="C717">
            <v>250371518150</v>
          </cell>
          <cell r="D717" t="str">
            <v xml:space="preserve">VATHADI JASWITHA RAGHAVA </v>
          </cell>
        </row>
        <row r="718">
          <cell r="C718">
            <v>250371518151</v>
          </cell>
          <cell r="D718" t="str">
            <v xml:space="preserve">VUTA ABHIRAM </v>
          </cell>
        </row>
        <row r="719">
          <cell r="C719">
            <v>250371509003</v>
          </cell>
          <cell r="D719" t="str">
            <v xml:space="preserve">ABBIREDDY NAGA SATWIKA </v>
          </cell>
        </row>
        <row r="720">
          <cell r="C720">
            <v>250371509145</v>
          </cell>
          <cell r="D720" t="str">
            <v xml:space="preserve">LANKA PURUSHOTHAM </v>
          </cell>
        </row>
        <row r="721">
          <cell r="C721">
            <v>250371509283</v>
          </cell>
          <cell r="D721" t="str">
            <v xml:space="preserve">VASAMSETTI MOHAN VENKATA RAMANA </v>
          </cell>
        </row>
        <row r="722">
          <cell r="C722">
            <v>250371553069</v>
          </cell>
          <cell r="D722" t="str">
            <v xml:space="preserve">KASI SATHVIK </v>
          </cell>
        </row>
        <row r="723">
          <cell r="C723">
            <v>250371553081</v>
          </cell>
          <cell r="D723" t="str">
            <v xml:space="preserve">LOKAREDDY VYSHNAVI </v>
          </cell>
        </row>
        <row r="724">
          <cell r="C724">
            <v>250371505001</v>
          </cell>
          <cell r="D724" t="str">
            <v xml:space="preserve">ACHANTA VENKAT </v>
          </cell>
        </row>
        <row r="725">
          <cell r="C725">
            <v>250371505002</v>
          </cell>
          <cell r="D725" t="str">
            <v xml:space="preserve">ADABALA YAGNA VEERA SATYA SREE </v>
          </cell>
        </row>
        <row r="726">
          <cell r="C726">
            <v>250371505003</v>
          </cell>
          <cell r="D726" t="str">
            <v xml:space="preserve">BAKI RAMAKRISHNA </v>
          </cell>
        </row>
        <row r="727">
          <cell r="C727">
            <v>250371505004</v>
          </cell>
          <cell r="D727" t="str">
            <v>BARLA RAJESWARI</v>
          </cell>
        </row>
        <row r="728">
          <cell r="C728">
            <v>250371505005</v>
          </cell>
          <cell r="D728" t="str">
            <v xml:space="preserve">BODA VEERA VENKATA KAMARAJU VINAY </v>
          </cell>
        </row>
        <row r="729">
          <cell r="C729">
            <v>250371505006</v>
          </cell>
          <cell r="D729" t="str">
            <v xml:space="preserve">BOMMIDI VEERA BABU </v>
          </cell>
        </row>
        <row r="730">
          <cell r="C730">
            <v>250371505007</v>
          </cell>
          <cell r="D730" t="str">
            <v xml:space="preserve">DANDRU PAVAN VENKATA GUPTHA </v>
          </cell>
        </row>
        <row r="731">
          <cell r="C731">
            <v>250371505008</v>
          </cell>
          <cell r="D731" t="str">
            <v xml:space="preserve">DANGETI VENKATA DURGA PRASANTH </v>
          </cell>
        </row>
        <row r="732">
          <cell r="C732">
            <v>250371505009</v>
          </cell>
          <cell r="D732" t="str">
            <v xml:space="preserve">DASARI DURGAPRASAD </v>
          </cell>
        </row>
        <row r="733">
          <cell r="C733">
            <v>250371505010</v>
          </cell>
          <cell r="D733" t="str">
            <v xml:space="preserve">DEVISETTI V V S S SAI KUMAR </v>
          </cell>
        </row>
        <row r="734">
          <cell r="C734">
            <v>250371505011</v>
          </cell>
          <cell r="D734" t="str">
            <v xml:space="preserve">DONKA BHARGAV RAGHAVENDRA </v>
          </cell>
        </row>
        <row r="735">
          <cell r="C735">
            <v>250371505012</v>
          </cell>
          <cell r="D735" t="str">
            <v xml:space="preserve">GADI JAYASRI MUNESH </v>
          </cell>
        </row>
        <row r="736">
          <cell r="C736">
            <v>250371505013</v>
          </cell>
          <cell r="D736" t="str">
            <v xml:space="preserve">GADIDESI JYOTHI </v>
          </cell>
        </row>
        <row r="737">
          <cell r="C737">
            <v>250371505014</v>
          </cell>
          <cell r="D737" t="str">
            <v xml:space="preserve">GEESALA ANUSHA </v>
          </cell>
        </row>
        <row r="738">
          <cell r="C738">
            <v>250371505015</v>
          </cell>
          <cell r="D738" t="str">
            <v xml:space="preserve">GINJALA SARANYA </v>
          </cell>
        </row>
        <row r="739">
          <cell r="C739">
            <v>250371505016</v>
          </cell>
          <cell r="D739" t="str">
            <v xml:space="preserve">GOLITHI SOMA SANTOSH </v>
          </cell>
        </row>
        <row r="740">
          <cell r="C740">
            <v>250371505017</v>
          </cell>
          <cell r="D740" t="str">
            <v xml:space="preserve">GULLAPALLI BHANUSRI </v>
          </cell>
        </row>
        <row r="741">
          <cell r="C741">
            <v>250371505018</v>
          </cell>
          <cell r="D741" t="str">
            <v xml:space="preserve">GUNDU GEETHA SRI </v>
          </cell>
        </row>
        <row r="742">
          <cell r="C742">
            <v>250371505019</v>
          </cell>
          <cell r="D742" t="str">
            <v>JAHNAVI NAGIDI</v>
          </cell>
        </row>
        <row r="743">
          <cell r="C743">
            <v>250371505020</v>
          </cell>
          <cell r="D743" t="str">
            <v xml:space="preserve">KADA DURGA PRASAD </v>
          </cell>
        </row>
        <row r="744">
          <cell r="C744">
            <v>250371505021</v>
          </cell>
          <cell r="D744" t="str">
            <v xml:space="preserve">KAMBALA HEMALATHA </v>
          </cell>
        </row>
        <row r="745">
          <cell r="C745">
            <v>250371505022</v>
          </cell>
          <cell r="D745" t="str">
            <v xml:space="preserve">KANUBOINA PRANEETH SIDDHARDHA </v>
          </cell>
        </row>
        <row r="746">
          <cell r="C746">
            <v>250371505023</v>
          </cell>
          <cell r="D746" t="str">
            <v>KARNIDI V S G PARVATHI MAHALAKSHMI</v>
          </cell>
        </row>
        <row r="747">
          <cell r="C747">
            <v>250371505024</v>
          </cell>
          <cell r="D747" t="str">
            <v xml:space="preserve">KARRI SHYAMSON </v>
          </cell>
        </row>
        <row r="748">
          <cell r="C748">
            <v>250371505025</v>
          </cell>
          <cell r="D748" t="str">
            <v xml:space="preserve">KOMMANAPALLI MOUNIKA MAHALAKSHMI </v>
          </cell>
        </row>
        <row r="749">
          <cell r="C749">
            <v>250371505026</v>
          </cell>
          <cell r="D749" t="str">
            <v xml:space="preserve">KOMMIREDDI NANDINI </v>
          </cell>
        </row>
        <row r="750">
          <cell r="C750">
            <v>250371505027</v>
          </cell>
          <cell r="D750" t="str">
            <v xml:space="preserve">KONALA VENKATA SURENDRA </v>
          </cell>
        </row>
        <row r="751">
          <cell r="C751">
            <v>250371505028</v>
          </cell>
          <cell r="D751" t="str">
            <v xml:space="preserve">KONCHA TANUJA </v>
          </cell>
        </row>
        <row r="752">
          <cell r="C752">
            <v>250371505029</v>
          </cell>
          <cell r="D752" t="str">
            <v xml:space="preserve">KORUPROLU VAMSI KRISHNA </v>
          </cell>
        </row>
        <row r="753">
          <cell r="C753">
            <v>250371505030</v>
          </cell>
          <cell r="D753" t="str">
            <v xml:space="preserve">MAASA JASWANT DEEP </v>
          </cell>
        </row>
        <row r="754">
          <cell r="C754">
            <v>250371505031</v>
          </cell>
          <cell r="D754" t="str">
            <v>MAGAPU VENKATA SURYA SRIRAMAMURTHY</v>
          </cell>
        </row>
        <row r="755">
          <cell r="C755">
            <v>250371505032</v>
          </cell>
          <cell r="D755" t="str">
            <v xml:space="preserve">MANDAPATI KARUNA KUMARI </v>
          </cell>
        </row>
        <row r="756">
          <cell r="C756">
            <v>250371505033</v>
          </cell>
          <cell r="D756" t="str">
            <v xml:space="preserve">MULIKI LAVANYA </v>
          </cell>
        </row>
        <row r="757">
          <cell r="C757">
            <v>250371505034</v>
          </cell>
          <cell r="D757" t="str">
            <v xml:space="preserve">MULIKI RAMYA </v>
          </cell>
        </row>
        <row r="758">
          <cell r="C758">
            <v>250371505035</v>
          </cell>
          <cell r="D758" t="str">
            <v xml:space="preserve">NAKKA PRAVEEN </v>
          </cell>
        </row>
        <row r="759">
          <cell r="C759">
            <v>250371505036</v>
          </cell>
          <cell r="D759" t="str">
            <v xml:space="preserve">NAMA MANIKANTA </v>
          </cell>
        </row>
        <row r="760">
          <cell r="C760">
            <v>250371505037</v>
          </cell>
          <cell r="D760" t="str">
            <v xml:space="preserve">NATLA BHARATH VINAY </v>
          </cell>
        </row>
        <row r="761">
          <cell r="C761">
            <v>250371505038</v>
          </cell>
          <cell r="D761" t="str">
            <v xml:space="preserve">NAVA NOOKA RAJU </v>
          </cell>
        </row>
        <row r="762">
          <cell r="C762">
            <v>250371505039</v>
          </cell>
          <cell r="D762" t="str">
            <v xml:space="preserve">NEELAM JAYANTH </v>
          </cell>
        </row>
        <row r="763">
          <cell r="C763">
            <v>250371505040</v>
          </cell>
          <cell r="D763" t="str">
            <v xml:space="preserve">NEELAPALLI KIRAN KUMAR </v>
          </cell>
        </row>
        <row r="764">
          <cell r="C764">
            <v>250371505041</v>
          </cell>
          <cell r="D764" t="str">
            <v>NEELAPALLI YEPRAYIM</v>
          </cell>
        </row>
        <row r="765">
          <cell r="C765">
            <v>250371505042</v>
          </cell>
          <cell r="D765" t="str">
            <v xml:space="preserve">NEELAPILLI JOSHI </v>
          </cell>
        </row>
        <row r="766">
          <cell r="C766">
            <v>250371505043</v>
          </cell>
          <cell r="D766" t="str">
            <v>NERELLA DURGA SWAROOP</v>
          </cell>
        </row>
        <row r="767">
          <cell r="C767">
            <v>250371505044</v>
          </cell>
          <cell r="D767" t="str">
            <v xml:space="preserve">NUNNA VENKATA MANIKANTA SAI </v>
          </cell>
        </row>
        <row r="768">
          <cell r="C768">
            <v>250371505045</v>
          </cell>
          <cell r="D768" t="str">
            <v xml:space="preserve">PABBINEEDI DHANA SEKHAR </v>
          </cell>
        </row>
        <row r="769">
          <cell r="C769">
            <v>250371505046</v>
          </cell>
          <cell r="D769" t="str">
            <v xml:space="preserve">PALEPU DURGA PRASAD </v>
          </cell>
        </row>
        <row r="770">
          <cell r="C770">
            <v>250371505047</v>
          </cell>
          <cell r="D770" t="str">
            <v xml:space="preserve">PATAKUNTI VIVEKANANDA REDDY </v>
          </cell>
        </row>
        <row r="771">
          <cell r="C771">
            <v>250371505048</v>
          </cell>
          <cell r="D771" t="str">
            <v xml:space="preserve">PEMMADI ADINARAYANA </v>
          </cell>
        </row>
        <row r="772">
          <cell r="C772">
            <v>250371505049</v>
          </cell>
          <cell r="D772" t="str">
            <v xml:space="preserve">PENAGANTI SREE HARITHA LAKSHMI PRIYA </v>
          </cell>
        </row>
        <row r="773">
          <cell r="C773">
            <v>250371505050</v>
          </cell>
          <cell r="D773" t="str">
            <v xml:space="preserve">PYLA SRI SAI NAVEEN KUMAR </v>
          </cell>
        </row>
        <row r="774">
          <cell r="C774">
            <v>250371505051</v>
          </cell>
          <cell r="D774" t="str">
            <v xml:space="preserve">RAYUDU JAI BHAVANI </v>
          </cell>
        </row>
        <row r="775">
          <cell r="C775">
            <v>250371505052</v>
          </cell>
          <cell r="D775" t="str">
            <v xml:space="preserve">SAVARAPU ANUSHA </v>
          </cell>
        </row>
        <row r="776">
          <cell r="C776">
            <v>250371505053</v>
          </cell>
          <cell r="D776" t="str">
            <v xml:space="preserve">SETTI ANU KUMAR </v>
          </cell>
        </row>
        <row r="777">
          <cell r="C777">
            <v>250371505054</v>
          </cell>
          <cell r="D777" t="str">
            <v xml:space="preserve">SHAIK AHAMMAD ALI </v>
          </cell>
        </row>
        <row r="778">
          <cell r="C778">
            <v>250371505055</v>
          </cell>
          <cell r="D778" t="str">
            <v xml:space="preserve">SHEIK ALTHAF </v>
          </cell>
        </row>
        <row r="779">
          <cell r="C779">
            <v>250371505056</v>
          </cell>
          <cell r="D779" t="str">
            <v xml:space="preserve">SIDDANTHAPU MAMATHA </v>
          </cell>
        </row>
        <row r="780">
          <cell r="C780">
            <v>250371505057</v>
          </cell>
          <cell r="D780" t="str">
            <v xml:space="preserve">SINGAM MANASA </v>
          </cell>
        </row>
        <row r="781">
          <cell r="C781">
            <v>250371505058</v>
          </cell>
          <cell r="D781" t="str">
            <v xml:space="preserve">SURAMPUDI MAHALAKSHMI </v>
          </cell>
        </row>
        <row r="782">
          <cell r="C782">
            <v>250371505059</v>
          </cell>
          <cell r="D782" t="str">
            <v xml:space="preserve">TALAGADADEEVI HEMANTH </v>
          </cell>
        </row>
        <row r="783">
          <cell r="C783">
            <v>250371505060</v>
          </cell>
          <cell r="D783" t="str">
            <v xml:space="preserve">TEDLAPU BALA GANGADHARA UMA SIVA SANKAR </v>
          </cell>
        </row>
        <row r="784">
          <cell r="C784">
            <v>250371505061</v>
          </cell>
          <cell r="D784" t="str">
            <v xml:space="preserve">VALTHI MAHENDRA </v>
          </cell>
        </row>
        <row r="785">
          <cell r="C785">
            <v>250371505062</v>
          </cell>
          <cell r="D785" t="str">
            <v xml:space="preserve">VANACHARLA MADHURI </v>
          </cell>
        </row>
        <row r="786">
          <cell r="C786">
            <v>250371505063</v>
          </cell>
          <cell r="D786" t="str">
            <v xml:space="preserve">VANTHALA JASHNAVI </v>
          </cell>
        </row>
        <row r="787">
          <cell r="C787">
            <v>250371505064</v>
          </cell>
          <cell r="D787" t="str">
            <v xml:space="preserve">VASAMSETTI SATYA SURYA MANIKANTA </v>
          </cell>
        </row>
        <row r="788">
          <cell r="C788">
            <v>250371505065</v>
          </cell>
          <cell r="D788" t="str">
            <v xml:space="preserve">VEDURESWARAPU SRIKAVYA </v>
          </cell>
        </row>
        <row r="789">
          <cell r="C789">
            <v>250371505066</v>
          </cell>
          <cell r="D789" t="str">
            <v xml:space="preserve">VENUM DEVIKA SRI </v>
          </cell>
        </row>
        <row r="790">
          <cell r="C790">
            <v>250371505067</v>
          </cell>
          <cell r="D790" t="str">
            <v xml:space="preserve">VONGALA KOUSHIK </v>
          </cell>
        </row>
        <row r="791">
          <cell r="C791">
            <v>250371505068</v>
          </cell>
          <cell r="D791" t="str">
            <v>YAVARNA PARDHU</v>
          </cell>
        </row>
        <row r="792">
          <cell r="C792">
            <v>250371505069</v>
          </cell>
          <cell r="D792" t="str">
            <v xml:space="preserve">YENDURI ROSHIT VEERA VENKATA SRI SAI </v>
          </cell>
        </row>
        <row r="793">
          <cell r="C793">
            <v>250371529001</v>
          </cell>
          <cell r="D793" t="str">
            <v xml:space="preserve">ANGADI DEVI MAMATHA </v>
          </cell>
        </row>
        <row r="794">
          <cell r="C794">
            <v>250371529002</v>
          </cell>
          <cell r="D794" t="str">
            <v xml:space="preserve">ATTILI MOKSHA SRI MANOJNA </v>
          </cell>
        </row>
        <row r="795">
          <cell r="C795">
            <v>250371529003</v>
          </cell>
          <cell r="D795" t="str">
            <v xml:space="preserve">AVVARI JAHNAVI </v>
          </cell>
        </row>
        <row r="796">
          <cell r="C796">
            <v>250371529004</v>
          </cell>
          <cell r="D796" t="str">
            <v xml:space="preserve">BADIGANTI SYAM SAJIV </v>
          </cell>
        </row>
        <row r="797">
          <cell r="C797">
            <v>250371529005</v>
          </cell>
          <cell r="D797" t="str">
            <v>BUNGA NIKHITHA</v>
          </cell>
        </row>
        <row r="798">
          <cell r="C798">
            <v>250371529006</v>
          </cell>
          <cell r="D798" t="str">
            <v xml:space="preserve">CHINNAM LYDIA GRACE </v>
          </cell>
        </row>
        <row r="799">
          <cell r="C799">
            <v>250371529007</v>
          </cell>
          <cell r="D799" t="str">
            <v>DEPHINE ELLEN RANGARIRA</v>
          </cell>
        </row>
        <row r="800">
          <cell r="C800">
            <v>250371529008</v>
          </cell>
          <cell r="D800" t="str">
            <v xml:space="preserve">GADA VEERA PRABHA SRI JAHNAVI </v>
          </cell>
        </row>
        <row r="801">
          <cell r="C801">
            <v>250371529009</v>
          </cell>
          <cell r="D801" t="str">
            <v xml:space="preserve">GATTI KEERTHANA </v>
          </cell>
        </row>
        <row r="802">
          <cell r="C802">
            <v>250371529010</v>
          </cell>
          <cell r="D802" t="str">
            <v xml:space="preserve">GUBBALA LAKSHMI PALLAVI </v>
          </cell>
        </row>
        <row r="803">
          <cell r="C803">
            <v>250371529011</v>
          </cell>
          <cell r="D803" t="str">
            <v xml:space="preserve">KANDELLI SREELEKHA </v>
          </cell>
        </row>
        <row r="804">
          <cell r="C804">
            <v>250371529012</v>
          </cell>
          <cell r="D804" t="str">
            <v xml:space="preserve">KAREDLA DEVI SRI NAGA MADHAVI </v>
          </cell>
        </row>
        <row r="805">
          <cell r="C805">
            <v>250371529013</v>
          </cell>
          <cell r="D805" t="str">
            <v xml:space="preserve">KARRI PRANATHI </v>
          </cell>
        </row>
        <row r="806">
          <cell r="C806">
            <v>250371529014</v>
          </cell>
          <cell r="D806" t="str">
            <v xml:space="preserve">KATAKAM SAI SRIVATHSA </v>
          </cell>
        </row>
        <row r="807">
          <cell r="C807">
            <v>250371529015</v>
          </cell>
          <cell r="D807" t="str">
            <v xml:space="preserve">KINTHALA SAILU </v>
          </cell>
        </row>
        <row r="808">
          <cell r="C808">
            <v>250371529016</v>
          </cell>
          <cell r="D808" t="str">
            <v xml:space="preserve">KOLA DEVENDRA SURYA CHAITANYA </v>
          </cell>
        </row>
        <row r="809">
          <cell r="C809">
            <v>250371529017</v>
          </cell>
          <cell r="D809" t="str">
            <v xml:space="preserve">KONJARLA VEERA DURGA </v>
          </cell>
        </row>
        <row r="810">
          <cell r="C810">
            <v>250371529018</v>
          </cell>
          <cell r="D810" t="str">
            <v xml:space="preserve">KURAKULA RAJANI </v>
          </cell>
        </row>
        <row r="811">
          <cell r="C811">
            <v>250371529019</v>
          </cell>
          <cell r="D811" t="str">
            <v xml:space="preserve">LANKA SANJANA </v>
          </cell>
        </row>
        <row r="812">
          <cell r="C812">
            <v>250371529020</v>
          </cell>
          <cell r="D812" t="str">
            <v xml:space="preserve">MADABALA SIVA GANESH </v>
          </cell>
        </row>
        <row r="813">
          <cell r="C813">
            <v>250371529021</v>
          </cell>
          <cell r="D813" t="str">
            <v xml:space="preserve">MAILAPILLI SUNEETHA </v>
          </cell>
        </row>
        <row r="814">
          <cell r="C814">
            <v>250371529022</v>
          </cell>
          <cell r="D814" t="str">
            <v xml:space="preserve">MAKKA RAVIKISHORE </v>
          </cell>
        </row>
        <row r="815">
          <cell r="C815">
            <v>250371529023</v>
          </cell>
          <cell r="D815" t="str">
            <v xml:space="preserve">MOHAMMAD HAYFAH MABROOKA </v>
          </cell>
        </row>
        <row r="816">
          <cell r="C816">
            <v>250371529024</v>
          </cell>
          <cell r="D816" t="str">
            <v xml:space="preserve">MOHAMMAD MEHABOOB BASHA </v>
          </cell>
        </row>
        <row r="817">
          <cell r="C817">
            <v>250371529025</v>
          </cell>
          <cell r="D817" t="str">
            <v xml:space="preserve">MOHAMMAD TAMHIDA </v>
          </cell>
        </row>
        <row r="818">
          <cell r="C818">
            <v>250371529026</v>
          </cell>
          <cell r="D818" t="str">
            <v xml:space="preserve">MOHAMMED HEENA </v>
          </cell>
        </row>
        <row r="819">
          <cell r="C819">
            <v>250371529027</v>
          </cell>
          <cell r="D819" t="str">
            <v xml:space="preserve">MOHAMMED JAIBUNNISA </v>
          </cell>
        </row>
        <row r="820">
          <cell r="C820">
            <v>250371529028</v>
          </cell>
          <cell r="D820" t="str">
            <v xml:space="preserve">MOYELLA HARINI </v>
          </cell>
        </row>
        <row r="821">
          <cell r="C821">
            <v>250371529029</v>
          </cell>
          <cell r="D821" t="str">
            <v xml:space="preserve">MUMMIDI SRIKAVYA </v>
          </cell>
        </row>
        <row r="822">
          <cell r="C822">
            <v>250371529030</v>
          </cell>
          <cell r="D822" t="str">
            <v xml:space="preserve">NADELLA SUJITH </v>
          </cell>
        </row>
        <row r="823">
          <cell r="C823">
            <v>250371529031</v>
          </cell>
          <cell r="D823" t="str">
            <v xml:space="preserve">NALLAM PUSHPAHASINI </v>
          </cell>
        </row>
        <row r="824">
          <cell r="C824">
            <v>250371529032</v>
          </cell>
          <cell r="D824" t="str">
            <v xml:space="preserve">NEELAM SRI ARJUN </v>
          </cell>
        </row>
        <row r="825">
          <cell r="C825">
            <v>250371529033</v>
          </cell>
          <cell r="D825" t="str">
            <v xml:space="preserve">PAGADAM SATYA DATTA DEVI VARSHITHA </v>
          </cell>
        </row>
        <row r="826">
          <cell r="C826">
            <v>250371529034</v>
          </cell>
          <cell r="D826" t="str">
            <v xml:space="preserve">PANDURI HEPSIBA </v>
          </cell>
        </row>
        <row r="827">
          <cell r="C827">
            <v>250371529035</v>
          </cell>
          <cell r="D827" t="str">
            <v xml:space="preserve">PINDI VIJAYA KRANTHI </v>
          </cell>
        </row>
        <row r="828">
          <cell r="C828">
            <v>250371529036</v>
          </cell>
          <cell r="D828" t="str">
            <v xml:space="preserve">PUGAMALLA CHANDRIKA </v>
          </cell>
        </row>
        <row r="829">
          <cell r="C829">
            <v>250371529037</v>
          </cell>
          <cell r="D829" t="str">
            <v xml:space="preserve">RAGHUMANDALA VARSHITHA </v>
          </cell>
        </row>
        <row r="830">
          <cell r="C830">
            <v>250371529038</v>
          </cell>
          <cell r="D830" t="str">
            <v xml:space="preserve">SAPPA NAGENDRA KUMAR </v>
          </cell>
        </row>
        <row r="831">
          <cell r="C831">
            <v>250371529039</v>
          </cell>
          <cell r="D831" t="str">
            <v xml:space="preserve">SARAKANAM DHARANI VENKATA ANUSHA </v>
          </cell>
        </row>
        <row r="832">
          <cell r="C832">
            <v>250371529040</v>
          </cell>
          <cell r="D832" t="str">
            <v xml:space="preserve">SHAIK HUSHNARA </v>
          </cell>
        </row>
        <row r="833">
          <cell r="C833">
            <v>250371529041</v>
          </cell>
          <cell r="D833" t="str">
            <v xml:space="preserve">SOMAVARAPU MAMATHA </v>
          </cell>
        </row>
        <row r="834">
          <cell r="C834">
            <v>250371529042</v>
          </cell>
          <cell r="D834" t="str">
            <v xml:space="preserve">VANUM MALLIKHARJUN </v>
          </cell>
        </row>
        <row r="835">
          <cell r="C835">
            <v>250371529043</v>
          </cell>
          <cell r="D835" t="str">
            <v>VARADA INDIRA PRIYADARSINI</v>
          </cell>
        </row>
        <row r="836">
          <cell r="C836">
            <v>250371529044</v>
          </cell>
          <cell r="D836" t="str">
            <v xml:space="preserve">VARANASI VEERA SAI LAKSHMI LALITHA </v>
          </cell>
        </row>
        <row r="837">
          <cell r="C837">
            <v>250371529045</v>
          </cell>
          <cell r="D837" t="str">
            <v xml:space="preserve">VASANTHALA MANIKANTA SYAMKUMAR </v>
          </cell>
        </row>
        <row r="838">
          <cell r="C838">
            <v>250371529046</v>
          </cell>
          <cell r="D838" t="str">
            <v xml:space="preserve">VEMULA VENKATA SUBHASH </v>
          </cell>
        </row>
        <row r="839">
          <cell r="C839">
            <v>250371529047</v>
          </cell>
          <cell r="D839" t="str">
            <v xml:space="preserve">VINNAKOTI SRI VIDYA </v>
          </cell>
        </row>
        <row r="840">
          <cell r="C840">
            <v>250371529048</v>
          </cell>
          <cell r="D840" t="str">
            <v xml:space="preserve">VIRIYALA SANTHI SWAROOPA </v>
          </cell>
        </row>
        <row r="841">
          <cell r="C841">
            <v>250371529049</v>
          </cell>
          <cell r="D841" t="str">
            <v xml:space="preserve">YARLAGADDA SWAPNA </v>
          </cell>
        </row>
        <row r="842">
          <cell r="C842">
            <v>250371529050</v>
          </cell>
          <cell r="D842" t="str">
            <v xml:space="preserve">YERUPALLI SATYA </v>
          </cell>
        </row>
        <row r="843">
          <cell r="C843">
            <v>250371534001</v>
          </cell>
          <cell r="D843" t="str">
            <v xml:space="preserve">BALASADI KARTHIK </v>
          </cell>
        </row>
        <row r="844">
          <cell r="C844">
            <v>250371534002</v>
          </cell>
          <cell r="D844" t="str">
            <v xml:space="preserve">BOGSU RAJU </v>
          </cell>
        </row>
        <row r="845">
          <cell r="C845">
            <v>250371534003</v>
          </cell>
          <cell r="D845" t="str">
            <v xml:space="preserve">BONTHU GAYATHRI </v>
          </cell>
        </row>
        <row r="846">
          <cell r="C846">
            <v>250371534004</v>
          </cell>
          <cell r="D846" t="str">
            <v xml:space="preserve">BUDITHI MANOJ KUMAR </v>
          </cell>
        </row>
        <row r="847">
          <cell r="C847">
            <v>250371534005</v>
          </cell>
          <cell r="D847" t="str">
            <v xml:space="preserve">CHOWDUVADA SURYA VENKATA TEJA </v>
          </cell>
        </row>
        <row r="848">
          <cell r="C848">
            <v>250371534006</v>
          </cell>
          <cell r="D848" t="str">
            <v>DARA HEMA SRIRAM</v>
          </cell>
        </row>
        <row r="849">
          <cell r="C849">
            <v>250371534007</v>
          </cell>
          <cell r="D849" t="str">
            <v xml:space="preserve">DEVISETTI VEERANJANEYULU </v>
          </cell>
        </row>
        <row r="850">
          <cell r="C850">
            <v>250371534008</v>
          </cell>
          <cell r="D850" t="str">
            <v xml:space="preserve">GADIKOYYA AVINASH </v>
          </cell>
        </row>
        <row r="851">
          <cell r="C851">
            <v>250371534009</v>
          </cell>
          <cell r="D851" t="str">
            <v xml:space="preserve">GUNTURU PHANI PRASAD RAJU </v>
          </cell>
        </row>
        <row r="852">
          <cell r="C852">
            <v>250371534010</v>
          </cell>
          <cell r="D852" t="str">
            <v>K YASWANTH NARAYANA</v>
          </cell>
        </row>
        <row r="853">
          <cell r="C853">
            <v>250371534011</v>
          </cell>
          <cell r="D853" t="str">
            <v xml:space="preserve">KANAPALA SHALEM RAJU </v>
          </cell>
        </row>
        <row r="854">
          <cell r="C854">
            <v>250371534012</v>
          </cell>
          <cell r="D854" t="str">
            <v xml:space="preserve">KANTE SIRISHA </v>
          </cell>
        </row>
        <row r="855">
          <cell r="C855">
            <v>250371534013</v>
          </cell>
          <cell r="D855" t="str">
            <v>KELLI TULASINADH</v>
          </cell>
        </row>
        <row r="856">
          <cell r="C856">
            <v>250371534014</v>
          </cell>
          <cell r="D856" t="str">
            <v xml:space="preserve">KONADA TEJA </v>
          </cell>
        </row>
        <row r="857">
          <cell r="C857">
            <v>250371534015</v>
          </cell>
          <cell r="D857" t="str">
            <v xml:space="preserve">KONDEPUDI VIJAY KUMAR </v>
          </cell>
        </row>
        <row r="858">
          <cell r="C858">
            <v>250371534016</v>
          </cell>
          <cell r="D858" t="str">
            <v xml:space="preserve">KOPPANATI SRINIVAS </v>
          </cell>
        </row>
        <row r="859">
          <cell r="C859">
            <v>250371534017</v>
          </cell>
          <cell r="D859" t="str">
            <v xml:space="preserve">KOYYA MAITHRI </v>
          </cell>
        </row>
        <row r="860">
          <cell r="C860">
            <v>250371534018</v>
          </cell>
          <cell r="D860" t="str">
            <v xml:space="preserve">KUNDI GAYATRI </v>
          </cell>
        </row>
        <row r="861">
          <cell r="C861">
            <v>250371534019</v>
          </cell>
          <cell r="D861" t="str">
            <v>KURRA TEJA PRAVEEN</v>
          </cell>
        </row>
        <row r="862">
          <cell r="C862">
            <v>250371534020</v>
          </cell>
          <cell r="D862" t="str">
            <v>LANKE KARTHIK</v>
          </cell>
        </row>
        <row r="863">
          <cell r="C863">
            <v>250371534021</v>
          </cell>
          <cell r="D863" t="str">
            <v xml:space="preserve">MAGUPALLI TEJESWANI </v>
          </cell>
        </row>
        <row r="864">
          <cell r="C864">
            <v>250371534022</v>
          </cell>
          <cell r="D864" t="str">
            <v xml:space="preserve">MALLAPUREDDY SATYADURGALAKSHMI SOWMYA </v>
          </cell>
        </row>
        <row r="865">
          <cell r="C865">
            <v>250371534023</v>
          </cell>
          <cell r="D865" t="str">
            <v>MALLIDI RUKMINI SRILAKSHMI PRASANNA</v>
          </cell>
        </row>
        <row r="866">
          <cell r="C866">
            <v>250371534024</v>
          </cell>
          <cell r="D866" t="str">
            <v xml:space="preserve">MASAKAPALLI PRAMEELA </v>
          </cell>
        </row>
        <row r="867">
          <cell r="C867">
            <v>250371534025</v>
          </cell>
          <cell r="D867" t="str">
            <v xml:space="preserve">MERUGU SRUTHI </v>
          </cell>
        </row>
        <row r="868">
          <cell r="C868">
            <v>250371534026</v>
          </cell>
          <cell r="D868" t="str">
            <v>MUGU SAI CHARAN</v>
          </cell>
        </row>
        <row r="869">
          <cell r="C869">
            <v>250371534027</v>
          </cell>
          <cell r="D869" t="str">
            <v xml:space="preserve">MYLAPALLI KRISHNA </v>
          </cell>
        </row>
        <row r="870">
          <cell r="C870">
            <v>250371534028</v>
          </cell>
          <cell r="D870" t="str">
            <v xml:space="preserve">NAKKA AMEER BABU </v>
          </cell>
        </row>
        <row r="871">
          <cell r="C871">
            <v>250371534029</v>
          </cell>
          <cell r="D871" t="str">
            <v xml:space="preserve">NATI VEERABABU </v>
          </cell>
        </row>
        <row r="872">
          <cell r="C872">
            <v>250371534030</v>
          </cell>
          <cell r="D872" t="str">
            <v>NAVYA SEELAM</v>
          </cell>
        </row>
        <row r="873">
          <cell r="C873">
            <v>250371534031</v>
          </cell>
          <cell r="D873" t="str">
            <v xml:space="preserve">PALEPU MADHURA MEENAKSHI </v>
          </cell>
        </row>
        <row r="874">
          <cell r="C874">
            <v>250371534032</v>
          </cell>
          <cell r="D874" t="str">
            <v xml:space="preserve">PALIKA YASHODA RAGHAVA KUMARI </v>
          </cell>
        </row>
        <row r="875">
          <cell r="C875">
            <v>250371534033</v>
          </cell>
          <cell r="D875" t="str">
            <v xml:space="preserve">PATHURI NANI BABU </v>
          </cell>
        </row>
        <row r="876">
          <cell r="C876">
            <v>250371534034</v>
          </cell>
          <cell r="D876" t="str">
            <v xml:space="preserve">PENKE LAKSHMAN BABU </v>
          </cell>
        </row>
        <row r="877">
          <cell r="C877">
            <v>250371534035</v>
          </cell>
          <cell r="D877" t="str">
            <v xml:space="preserve">SADHU VENU </v>
          </cell>
        </row>
        <row r="878">
          <cell r="C878">
            <v>250371534036</v>
          </cell>
          <cell r="D878" t="str">
            <v xml:space="preserve">SANGADI PRASANNA </v>
          </cell>
        </row>
        <row r="879">
          <cell r="C879">
            <v>250371534037</v>
          </cell>
          <cell r="D879" t="str">
            <v xml:space="preserve">SEELAM RATNA CHETAN </v>
          </cell>
        </row>
        <row r="880">
          <cell r="C880">
            <v>250371534038</v>
          </cell>
          <cell r="D880" t="str">
            <v xml:space="preserve">SHEIK KARISHMA </v>
          </cell>
        </row>
        <row r="881">
          <cell r="C881">
            <v>250371534039</v>
          </cell>
          <cell r="D881" t="str">
            <v>SWARNA SANDHYA</v>
          </cell>
        </row>
        <row r="882">
          <cell r="C882">
            <v>250371534040</v>
          </cell>
          <cell r="D882" t="str">
            <v xml:space="preserve">TIPPANAGIRI VENKATA VIDYA SRI </v>
          </cell>
        </row>
        <row r="883">
          <cell r="C883">
            <v>250371534041</v>
          </cell>
          <cell r="D883" t="str">
            <v xml:space="preserve">VATHADA NAVADEEP </v>
          </cell>
        </row>
        <row r="884">
          <cell r="C884">
            <v>250371534042</v>
          </cell>
          <cell r="D884" t="str">
            <v xml:space="preserve">VATSAVAI N S V N SITA RAMA RAJU </v>
          </cell>
        </row>
        <row r="885">
          <cell r="C885">
            <v>250371538001</v>
          </cell>
          <cell r="D885" t="str">
            <v>ANDE RAJESH VEERA MOULI</v>
          </cell>
        </row>
        <row r="886">
          <cell r="C886">
            <v>250371538002</v>
          </cell>
          <cell r="D886" t="str">
            <v>BANDI RISHI KUMAR</v>
          </cell>
        </row>
        <row r="887">
          <cell r="C887">
            <v>250371538003</v>
          </cell>
          <cell r="D887" t="str">
            <v>BHUPATHI DINESH KARTHIK SAI</v>
          </cell>
        </row>
        <row r="888">
          <cell r="C888">
            <v>250371538004</v>
          </cell>
          <cell r="D888" t="str">
            <v>BODDETI PAVAN KUMAR</v>
          </cell>
        </row>
        <row r="889">
          <cell r="C889">
            <v>250371538005</v>
          </cell>
          <cell r="D889" t="str">
            <v>CHODIPILLI JAGADEESH KUMAR</v>
          </cell>
        </row>
        <row r="890">
          <cell r="C890">
            <v>250371538006</v>
          </cell>
          <cell r="D890" t="str">
            <v>DANGETI SHANMUKHA SAI</v>
          </cell>
        </row>
        <row r="891">
          <cell r="C891">
            <v>250371538007</v>
          </cell>
          <cell r="D891" t="str">
            <v>GOLLAPALLI MEGHANA</v>
          </cell>
        </row>
        <row r="892">
          <cell r="C892">
            <v>250371538008</v>
          </cell>
          <cell r="D892" t="str">
            <v>GUDE SAI</v>
          </cell>
        </row>
        <row r="893">
          <cell r="C893">
            <v>250371538009</v>
          </cell>
          <cell r="D893" t="str">
            <v>JAMI SAI MANISH KUMAR</v>
          </cell>
        </row>
        <row r="894">
          <cell r="C894">
            <v>250371538010</v>
          </cell>
          <cell r="D894" t="str">
            <v>KADULURI MOUNIKA</v>
          </cell>
        </row>
        <row r="895">
          <cell r="C895">
            <v>250371538011</v>
          </cell>
          <cell r="D895" t="str">
            <v>KAMADA PAVANI</v>
          </cell>
        </row>
        <row r="896">
          <cell r="C896">
            <v>250371538012</v>
          </cell>
          <cell r="D896" t="str">
            <v>KARRI ANIL KUMAR</v>
          </cell>
        </row>
        <row r="897">
          <cell r="C897">
            <v>250371538013</v>
          </cell>
          <cell r="D897" t="str">
            <v>KARRI BHANU VINAY SAI CHARAN</v>
          </cell>
        </row>
        <row r="898">
          <cell r="C898">
            <v>250371538014</v>
          </cell>
          <cell r="D898" t="str">
            <v>KESAVARAPU VENKAT TEJAS</v>
          </cell>
        </row>
        <row r="899">
          <cell r="C899">
            <v>250371538015</v>
          </cell>
          <cell r="D899" t="str">
            <v>KOLLA SIVA SUBRAHMANYAM</v>
          </cell>
        </row>
        <row r="900">
          <cell r="C900">
            <v>250371538016</v>
          </cell>
          <cell r="D900" t="str">
            <v>KOLLUBOINA VIJAY KUMAR</v>
          </cell>
        </row>
        <row r="901">
          <cell r="C901">
            <v>250371538017</v>
          </cell>
          <cell r="D901" t="str">
            <v>KONA NAGA SAI CHARAN</v>
          </cell>
        </row>
        <row r="902">
          <cell r="C902">
            <v>250371538018</v>
          </cell>
          <cell r="D902" t="str">
            <v>MANDARAPU HIMANTH KUMAR</v>
          </cell>
        </row>
        <row r="903">
          <cell r="C903">
            <v>250371538019</v>
          </cell>
          <cell r="D903" t="str">
            <v>MARLA AKASH</v>
          </cell>
        </row>
        <row r="904">
          <cell r="C904">
            <v>250371538020</v>
          </cell>
          <cell r="D904" t="str">
            <v>MUTYALA RAJA RAVI VARMA</v>
          </cell>
        </row>
        <row r="905">
          <cell r="C905">
            <v>250371538021</v>
          </cell>
          <cell r="D905" t="str">
            <v>NIMMAKAYALA RAM TRISHUL</v>
          </cell>
        </row>
        <row r="906">
          <cell r="C906">
            <v>250371538022</v>
          </cell>
          <cell r="D906" t="str">
            <v>PALANGI SARA PRADEEPIKA</v>
          </cell>
        </row>
        <row r="907">
          <cell r="C907">
            <v>250371538023</v>
          </cell>
          <cell r="D907" t="str">
            <v>PALEPU DHARMA TEJA</v>
          </cell>
        </row>
        <row r="908">
          <cell r="C908">
            <v>250371538024</v>
          </cell>
          <cell r="D908" t="str">
            <v>PERABATHULA RAMA SESHAGIRI</v>
          </cell>
        </row>
        <row r="909">
          <cell r="C909">
            <v>250371538025</v>
          </cell>
          <cell r="D909" t="str">
            <v>POTHULA ELISE GOSPEL</v>
          </cell>
        </row>
        <row r="910">
          <cell r="C910">
            <v>250371538026</v>
          </cell>
          <cell r="D910" t="str">
            <v>PUNYAMANTULA SRI MANIKANTA SATYANARAYANA</v>
          </cell>
        </row>
        <row r="911">
          <cell r="C911">
            <v>250371538027</v>
          </cell>
          <cell r="D911" t="str">
            <v>SURAMPUDI THARUN SAI SRINIVAS</v>
          </cell>
        </row>
        <row r="912">
          <cell r="C912">
            <v>250371538028</v>
          </cell>
          <cell r="D912" t="str">
            <v>THULA JOY SAMUEL</v>
          </cell>
        </row>
        <row r="913">
          <cell r="C913">
            <v>250371538029</v>
          </cell>
          <cell r="D913" t="str">
            <v>VALLURI NANI KRISHNA</v>
          </cell>
        </row>
        <row r="914">
          <cell r="C914">
            <v>250371554001</v>
          </cell>
          <cell r="D914" t="str">
            <v xml:space="preserve">ADDANKI DEEVEN KUMAR </v>
          </cell>
        </row>
        <row r="915">
          <cell r="C915">
            <v>250371554002</v>
          </cell>
          <cell r="D915" t="str">
            <v xml:space="preserve">ANISETTI DURGA BHAVANI </v>
          </cell>
        </row>
        <row r="916">
          <cell r="C916">
            <v>250371554003</v>
          </cell>
          <cell r="D916" t="str">
            <v xml:space="preserve">ANUKULI CHANDU </v>
          </cell>
        </row>
        <row r="917">
          <cell r="C917">
            <v>250371554004</v>
          </cell>
          <cell r="D917" t="str">
            <v xml:space="preserve">BALIJEPALLI JOGI DURGA PAVAN </v>
          </cell>
        </row>
        <row r="918">
          <cell r="C918">
            <v>250371554005</v>
          </cell>
          <cell r="D918" t="str">
            <v xml:space="preserve">BANDARU SATYA VENU VANKATA SIVA </v>
          </cell>
        </row>
        <row r="919">
          <cell r="C919">
            <v>250371554006</v>
          </cell>
          <cell r="D919" t="str">
            <v xml:space="preserve">BIRADAKOTA VENKATA RAMA LOKESH </v>
          </cell>
        </row>
        <row r="920">
          <cell r="C920">
            <v>250371554007</v>
          </cell>
          <cell r="D920" t="str">
            <v xml:space="preserve">CHANDANALA RAJUPRAKASH </v>
          </cell>
        </row>
        <row r="921">
          <cell r="C921">
            <v>250371554008</v>
          </cell>
          <cell r="D921" t="str">
            <v xml:space="preserve">CHESETTI ADI VENKATA SUDHEER </v>
          </cell>
        </row>
        <row r="922">
          <cell r="C922">
            <v>250371554009</v>
          </cell>
          <cell r="D922" t="str">
            <v xml:space="preserve">DAMALANKA SAIGANESH </v>
          </cell>
        </row>
        <row r="923">
          <cell r="C923">
            <v>250371554010</v>
          </cell>
          <cell r="D923" t="str">
            <v xml:space="preserve">DHANIMISETTI KARTHIK </v>
          </cell>
        </row>
        <row r="924">
          <cell r="C924">
            <v>250371554011</v>
          </cell>
          <cell r="D924" t="str">
            <v xml:space="preserve">ELUGUBANTLA KEERTHANA SUJITHA RAMANI </v>
          </cell>
        </row>
        <row r="925">
          <cell r="C925">
            <v>250371554012</v>
          </cell>
          <cell r="D925" t="str">
            <v xml:space="preserve">GALLA VARA LAKSHMI </v>
          </cell>
        </row>
        <row r="926">
          <cell r="C926">
            <v>250371554013</v>
          </cell>
          <cell r="D926" t="str">
            <v xml:space="preserve">GENJI JASWANTH SRITEJA </v>
          </cell>
        </row>
        <row r="927">
          <cell r="C927">
            <v>250371554014</v>
          </cell>
          <cell r="D927" t="str">
            <v xml:space="preserve">GONTHIREDDY SURYA NARAYANA </v>
          </cell>
        </row>
        <row r="928">
          <cell r="C928">
            <v>250371554015</v>
          </cell>
          <cell r="D928" t="str">
            <v xml:space="preserve">JALLIGAMPALA SAI CHARAN DINESH </v>
          </cell>
        </row>
        <row r="929">
          <cell r="C929">
            <v>250371554016</v>
          </cell>
          <cell r="D929" t="str">
            <v xml:space="preserve">JERRIPOTHULA VENKATA SAI VARDHAN </v>
          </cell>
        </row>
        <row r="930">
          <cell r="C930">
            <v>250371554017</v>
          </cell>
          <cell r="D930" t="str">
            <v xml:space="preserve">KAKARA VIVEK </v>
          </cell>
        </row>
        <row r="931">
          <cell r="C931">
            <v>250371554018</v>
          </cell>
          <cell r="D931" t="str">
            <v xml:space="preserve">KALAGA SAI </v>
          </cell>
        </row>
        <row r="932">
          <cell r="C932">
            <v>250371554019</v>
          </cell>
          <cell r="D932" t="str">
            <v xml:space="preserve">KANCHUMENU SRI CHARAN </v>
          </cell>
        </row>
        <row r="933">
          <cell r="C933">
            <v>250371554020</v>
          </cell>
          <cell r="D933" t="str">
            <v xml:space="preserve">KARRI BHARGAVA D V BHEEMESWARA VARMA </v>
          </cell>
        </row>
        <row r="934">
          <cell r="C934">
            <v>250371554021</v>
          </cell>
          <cell r="D934" t="str">
            <v xml:space="preserve">KARRI MURALI KRISHNA </v>
          </cell>
        </row>
        <row r="935">
          <cell r="C935">
            <v>250371554022</v>
          </cell>
          <cell r="D935" t="str">
            <v xml:space="preserve">KILARI DURGA PAVAN KUMAR </v>
          </cell>
        </row>
        <row r="936">
          <cell r="C936">
            <v>250371554023</v>
          </cell>
          <cell r="D936" t="str">
            <v xml:space="preserve">KONCHA AMRUTHA DEVI SRI </v>
          </cell>
        </row>
        <row r="937">
          <cell r="C937">
            <v>250371554024</v>
          </cell>
          <cell r="D937" t="str">
            <v xml:space="preserve">MADDURI VIKASH VENKATA BHEEMESWARA RAO </v>
          </cell>
        </row>
        <row r="938">
          <cell r="C938">
            <v>250371554025</v>
          </cell>
          <cell r="D938" t="str">
            <v xml:space="preserve">MADUGULA NARENDRA </v>
          </cell>
        </row>
        <row r="939">
          <cell r="C939">
            <v>250371554026</v>
          </cell>
          <cell r="D939" t="str">
            <v xml:space="preserve">MAKINEEDI SYAM SATYA ANANTH </v>
          </cell>
        </row>
        <row r="940">
          <cell r="C940">
            <v>250371554027</v>
          </cell>
          <cell r="D940" t="str">
            <v xml:space="preserve">MANDAVILLI ADITYA </v>
          </cell>
        </row>
        <row r="941">
          <cell r="C941">
            <v>250371554028</v>
          </cell>
          <cell r="D941" t="str">
            <v xml:space="preserve">NARLA BHASKAR NARAYANA </v>
          </cell>
        </row>
        <row r="942">
          <cell r="C942">
            <v>250371554029</v>
          </cell>
          <cell r="D942" t="str">
            <v xml:space="preserve">NASARI MANIKANTA </v>
          </cell>
        </row>
        <row r="943">
          <cell r="C943">
            <v>250371554030</v>
          </cell>
          <cell r="D943" t="str">
            <v xml:space="preserve">PAILA VAMSI KRISHNA </v>
          </cell>
        </row>
        <row r="944">
          <cell r="C944">
            <v>250371554031</v>
          </cell>
          <cell r="D944" t="str">
            <v xml:space="preserve">PALI GOWTHAM SRINIVAS </v>
          </cell>
        </row>
        <row r="945">
          <cell r="C945">
            <v>250371554032</v>
          </cell>
          <cell r="D945" t="str">
            <v xml:space="preserve">PALLA VENU GOPAL NAIDU </v>
          </cell>
        </row>
        <row r="946">
          <cell r="C946">
            <v>250371554033</v>
          </cell>
          <cell r="D946" t="str">
            <v xml:space="preserve">PATHALA DURGA NOOKARAJU </v>
          </cell>
        </row>
        <row r="947">
          <cell r="C947">
            <v>250371554034</v>
          </cell>
          <cell r="D947" t="str">
            <v xml:space="preserve">PEDIREDLA NAGENDRA KUMAR </v>
          </cell>
        </row>
        <row r="948">
          <cell r="C948">
            <v>250371554035</v>
          </cell>
          <cell r="D948" t="str">
            <v xml:space="preserve">PEMMANABOIDI SATYA MOUNIKA </v>
          </cell>
        </row>
        <row r="949">
          <cell r="C949">
            <v>250371554036</v>
          </cell>
          <cell r="D949" t="str">
            <v xml:space="preserve">PERUMALLA RAJ KUMAR </v>
          </cell>
        </row>
        <row r="950">
          <cell r="C950">
            <v>250371554037</v>
          </cell>
          <cell r="D950" t="str">
            <v xml:space="preserve">PILLA J V S S N AMBIKA </v>
          </cell>
        </row>
        <row r="951">
          <cell r="C951">
            <v>250371554038</v>
          </cell>
          <cell r="D951" t="str">
            <v xml:space="preserve">POLASU MAHENDRA VARMA </v>
          </cell>
        </row>
        <row r="952">
          <cell r="C952">
            <v>250371554039</v>
          </cell>
          <cell r="D952" t="str">
            <v xml:space="preserve">RUTHALA NIKHIL </v>
          </cell>
        </row>
        <row r="953">
          <cell r="C953">
            <v>250371554040</v>
          </cell>
          <cell r="D953" t="str">
            <v xml:space="preserve">SAMBANA JAGAN MOHAN </v>
          </cell>
        </row>
        <row r="954">
          <cell r="C954">
            <v>250371554041</v>
          </cell>
          <cell r="D954" t="str">
            <v xml:space="preserve">SANGADI GOWTHAM </v>
          </cell>
        </row>
        <row r="955">
          <cell r="C955">
            <v>250371554042</v>
          </cell>
          <cell r="D955" t="str">
            <v xml:space="preserve">SILAPARASETTI LEELA SANKARA MANIKANTA </v>
          </cell>
        </row>
        <row r="956">
          <cell r="C956">
            <v>250371554043</v>
          </cell>
          <cell r="D956" t="str">
            <v xml:space="preserve">SIRIYALA HARSHA VARDHAN </v>
          </cell>
        </row>
        <row r="957">
          <cell r="C957">
            <v>250371554044</v>
          </cell>
          <cell r="D957" t="str">
            <v xml:space="preserve">SOMISETTI VEERA MANIKANTA </v>
          </cell>
        </row>
        <row r="958">
          <cell r="C958">
            <v>250371554045</v>
          </cell>
          <cell r="D958" t="str">
            <v xml:space="preserve">SRIPATHI ASHOK KUMAR </v>
          </cell>
        </row>
        <row r="959">
          <cell r="C959">
            <v>250371554046</v>
          </cell>
          <cell r="D959" t="str">
            <v xml:space="preserve">SUNKARA CHAKRA SWAMY </v>
          </cell>
        </row>
        <row r="960">
          <cell r="C960">
            <v>250371554047</v>
          </cell>
          <cell r="D960" t="str">
            <v xml:space="preserve">THITTI RAJU </v>
          </cell>
        </row>
        <row r="961">
          <cell r="C961">
            <v>250371554048</v>
          </cell>
          <cell r="D961" t="str">
            <v xml:space="preserve">VADDIPARTHI ANAND </v>
          </cell>
        </row>
        <row r="962">
          <cell r="C962">
            <v>250371554049</v>
          </cell>
          <cell r="D962" t="str">
            <v xml:space="preserve">VELUGULA SATYA SAI </v>
          </cell>
        </row>
        <row r="963">
          <cell r="C963">
            <v>250371554050</v>
          </cell>
          <cell r="D963" t="str">
            <v xml:space="preserve">YAAMANA KRANTHI THAMMARAO </v>
          </cell>
        </row>
        <row r="964">
          <cell r="C964">
            <v>250371554051</v>
          </cell>
          <cell r="D964" t="str">
            <v xml:space="preserve">YANAMADALA SHANMUKHA SANTOSH </v>
          </cell>
        </row>
        <row r="965">
          <cell r="C965">
            <v>250371603001</v>
          </cell>
          <cell r="D965" t="str">
            <v>ADAPA SAI MANIKANTA</v>
          </cell>
        </row>
        <row r="966">
          <cell r="C966">
            <v>250371603002</v>
          </cell>
          <cell r="D966" t="str">
            <v>ADAPA SARITHA</v>
          </cell>
        </row>
        <row r="967">
          <cell r="C967">
            <v>250371603003</v>
          </cell>
          <cell r="D967" t="str">
            <v>ALLANKI SATYA KOUSHIK SAI</v>
          </cell>
        </row>
        <row r="968">
          <cell r="C968">
            <v>250371603004</v>
          </cell>
          <cell r="D968" t="str">
            <v>ANNAMPALLI PREM RAKSHITH</v>
          </cell>
        </row>
        <row r="969">
          <cell r="C969">
            <v>250371603005</v>
          </cell>
          <cell r="D969" t="str">
            <v>ANUPOJU VENKATA NAGA DURGA LAKSHMI</v>
          </cell>
        </row>
        <row r="970">
          <cell r="C970">
            <v>250371603006</v>
          </cell>
          <cell r="D970" t="str">
            <v>ANUSURI ANIL KUMAR</v>
          </cell>
        </row>
        <row r="971">
          <cell r="C971">
            <v>250371603007</v>
          </cell>
          <cell r="D971" t="str">
            <v>DEVADA ASRITHA</v>
          </cell>
        </row>
        <row r="972">
          <cell r="C972">
            <v>250371603008</v>
          </cell>
          <cell r="D972" t="str">
            <v>ATMAKURI RAM TEJA</v>
          </cell>
        </row>
        <row r="973">
          <cell r="C973">
            <v>250371603009</v>
          </cell>
          <cell r="D973" t="str">
            <v>BATTILA VENKATA GANESH</v>
          </cell>
        </row>
        <row r="974">
          <cell r="C974">
            <v>250371603010</v>
          </cell>
          <cell r="D974" t="str">
            <v>BATTULA PREM KUMAR</v>
          </cell>
        </row>
        <row r="975">
          <cell r="C975">
            <v>250371603011</v>
          </cell>
          <cell r="D975" t="str">
            <v>BHOGIREDDY DURGA PRASAD</v>
          </cell>
        </row>
        <row r="976">
          <cell r="C976">
            <v>250371603012</v>
          </cell>
          <cell r="D976" t="str">
            <v xml:space="preserve">BONAM NAGENDRA </v>
          </cell>
        </row>
        <row r="977">
          <cell r="C977">
            <v>250371603013</v>
          </cell>
          <cell r="D977" t="str">
            <v>BONAM VENKATESH</v>
          </cell>
        </row>
        <row r="978">
          <cell r="C978">
            <v>250371603014</v>
          </cell>
          <cell r="D978" t="str">
            <v>BUDDHALA SATYA SAI DURGA SANTHOSH</v>
          </cell>
        </row>
        <row r="979">
          <cell r="C979">
            <v>250371603015</v>
          </cell>
          <cell r="D979" t="str">
            <v>CHEEPURUPALLI AJITH KUMAR</v>
          </cell>
        </row>
        <row r="980">
          <cell r="C980">
            <v>250371603016</v>
          </cell>
          <cell r="D980" t="str">
            <v>CHIKKALA VEERA VENKATA CHARAN TEJA</v>
          </cell>
        </row>
        <row r="981">
          <cell r="C981">
            <v>250371603017</v>
          </cell>
          <cell r="D981" t="str">
            <v>CHILLA RAMALAKSHMI</v>
          </cell>
        </row>
        <row r="982">
          <cell r="C982">
            <v>250371603018</v>
          </cell>
          <cell r="D982" t="str">
            <v>CHINTA SIDVI SRUJAN KUMAR</v>
          </cell>
        </row>
        <row r="983">
          <cell r="C983">
            <v>250371603019</v>
          </cell>
          <cell r="D983" t="str">
            <v>CHITTURI JAI ROHITH</v>
          </cell>
        </row>
        <row r="984">
          <cell r="C984">
            <v>250371603020</v>
          </cell>
          <cell r="D984" t="str">
            <v>CHOKKA NIRIKSHAN KUMAR</v>
          </cell>
        </row>
        <row r="985">
          <cell r="C985">
            <v>250371603021</v>
          </cell>
          <cell r="D985" t="str">
            <v>DASARI MANI GANESH</v>
          </cell>
        </row>
        <row r="986">
          <cell r="C986">
            <v>250371603022</v>
          </cell>
          <cell r="D986" t="str">
            <v>DESHNA JAIN</v>
          </cell>
        </row>
        <row r="987">
          <cell r="C987">
            <v>250371603023</v>
          </cell>
          <cell r="D987" t="str">
            <v>DEVARAKONDA RAMA KRISHNA</v>
          </cell>
        </row>
        <row r="988">
          <cell r="C988">
            <v>250371603024</v>
          </cell>
          <cell r="D988" t="str">
            <v>DUVVA DEVI</v>
          </cell>
        </row>
        <row r="989">
          <cell r="C989">
            <v>250371603025</v>
          </cell>
          <cell r="D989" t="str">
            <v>EKANSH JAIN</v>
          </cell>
        </row>
        <row r="990">
          <cell r="C990">
            <v>250371603026</v>
          </cell>
          <cell r="D990" t="str">
            <v>GADIRAJU BHARGAVA VARMA</v>
          </cell>
        </row>
        <row r="991">
          <cell r="C991">
            <v>250371603027</v>
          </cell>
          <cell r="D991" t="str">
            <v>GANDHAM RUPENDRA GANGAVEERU</v>
          </cell>
        </row>
        <row r="992">
          <cell r="C992">
            <v>250371603028</v>
          </cell>
          <cell r="D992" t="str">
            <v>GANTA JYOTHISH</v>
          </cell>
        </row>
        <row r="993">
          <cell r="C993">
            <v>250371603029</v>
          </cell>
          <cell r="D993" t="str">
            <v>GOTTALA PRAVALLIKA</v>
          </cell>
        </row>
        <row r="994">
          <cell r="C994">
            <v>250371603030</v>
          </cell>
          <cell r="D994" t="str">
            <v>GOVARDHANAM MANOBHIRAM</v>
          </cell>
        </row>
        <row r="995">
          <cell r="C995">
            <v>250371603031</v>
          </cell>
          <cell r="D995" t="str">
            <v>GULLIPALLI YOGI</v>
          </cell>
        </row>
        <row r="996">
          <cell r="C996">
            <v>250371603032</v>
          </cell>
          <cell r="D996" t="str">
            <v>JAKKANI HARI KRISHNA</v>
          </cell>
        </row>
        <row r="997">
          <cell r="C997">
            <v>250371603033</v>
          </cell>
          <cell r="D997" t="str">
            <v>JAKKEE AKHIL RAJ</v>
          </cell>
        </row>
        <row r="998">
          <cell r="C998">
            <v>250371603034</v>
          </cell>
          <cell r="D998" t="str">
            <v xml:space="preserve">KADIM SANTHOSH </v>
          </cell>
        </row>
        <row r="999">
          <cell r="C999">
            <v>250371603035</v>
          </cell>
          <cell r="D999" t="str">
            <v>KANDULA RAJESH</v>
          </cell>
        </row>
        <row r="1000">
          <cell r="C1000">
            <v>250371603036</v>
          </cell>
          <cell r="D1000" t="str">
            <v>KANURI SRINIVAS ANIL</v>
          </cell>
        </row>
        <row r="1001">
          <cell r="C1001">
            <v>250371603037</v>
          </cell>
          <cell r="D1001" t="str">
            <v>KODAMATI SATYA SAI SRI</v>
          </cell>
        </row>
        <row r="1002">
          <cell r="C1002">
            <v>250371603038</v>
          </cell>
          <cell r="D1002" t="str">
            <v>KONDISETTI EESHITHA</v>
          </cell>
        </row>
        <row r="1003">
          <cell r="C1003">
            <v>250371603039</v>
          </cell>
          <cell r="D1003" t="str">
            <v>KORUPOLU SAI RUPA DATTA GANESH</v>
          </cell>
        </row>
        <row r="1004">
          <cell r="C1004">
            <v>250371603040</v>
          </cell>
          <cell r="D1004" t="str">
            <v>KOTHA RAVI KIRAN</v>
          </cell>
        </row>
        <row r="1005">
          <cell r="C1005">
            <v>250371603041</v>
          </cell>
          <cell r="D1005" t="str">
            <v>KOTHAPALLI LASYA KRISHNA SRI</v>
          </cell>
        </row>
        <row r="1006">
          <cell r="C1006">
            <v>250371603042</v>
          </cell>
          <cell r="D1006" t="str">
            <v>KRISHA SATAWAT JAIN</v>
          </cell>
        </row>
        <row r="1007">
          <cell r="C1007">
            <v>250371603043</v>
          </cell>
          <cell r="D1007" t="str">
            <v>KRISS JAIN</v>
          </cell>
        </row>
        <row r="1008">
          <cell r="C1008">
            <v>250371603044</v>
          </cell>
          <cell r="D1008" t="str">
            <v>KRIYA JAIN</v>
          </cell>
        </row>
        <row r="1009">
          <cell r="C1009">
            <v>250371603045</v>
          </cell>
          <cell r="D1009" t="str">
            <v>KUDIPUDI KEERTHANA</v>
          </cell>
        </row>
        <row r="1010">
          <cell r="C1010">
            <v>250371603046</v>
          </cell>
          <cell r="D1010" t="str">
            <v>KUKKALA DEVI SRI VENKATA VISHNU VARDHAN</v>
          </cell>
        </row>
        <row r="1011">
          <cell r="C1011">
            <v>250371603047</v>
          </cell>
          <cell r="D1011" t="str">
            <v>KURAMDASU JAGADEESH</v>
          </cell>
        </row>
        <row r="1012">
          <cell r="C1012">
            <v>250371603048</v>
          </cell>
          <cell r="D1012" t="str">
            <v>KURUMELLA DURGA GANGA VENKATA LAKSHMI</v>
          </cell>
        </row>
        <row r="1013">
          <cell r="C1013">
            <v>250371603049</v>
          </cell>
          <cell r="D1013" t="str">
            <v>KURUSAM MEENAKSHI</v>
          </cell>
        </row>
        <row r="1014">
          <cell r="C1014">
            <v>250371603050</v>
          </cell>
          <cell r="D1014" t="str">
            <v>MADDULA AKSHAY</v>
          </cell>
        </row>
        <row r="1015">
          <cell r="C1015">
            <v>250371603051</v>
          </cell>
          <cell r="D1015" t="str">
            <v>MAHADIK DEVENDAR</v>
          </cell>
        </row>
        <row r="1016">
          <cell r="C1016">
            <v>250371603052</v>
          </cell>
          <cell r="D1016" t="str">
            <v>MANIKYAM SATYA NAGA GANGA VENU KUMAR</v>
          </cell>
        </row>
        <row r="1017">
          <cell r="C1017">
            <v>250371603053</v>
          </cell>
          <cell r="D1017" t="str">
            <v>MARIYA PARMAR</v>
          </cell>
        </row>
        <row r="1018">
          <cell r="C1018">
            <v>250371603054</v>
          </cell>
          <cell r="D1018" t="str">
            <v>MARUKURTHI ANANTHA VENKATESWARA RAO</v>
          </cell>
        </row>
        <row r="1019">
          <cell r="C1019">
            <v>250371603055</v>
          </cell>
          <cell r="D1019" t="str">
            <v>MEDISETTI BHUVANA VENKATA DHANA LAHARI</v>
          </cell>
        </row>
        <row r="1020">
          <cell r="C1020">
            <v>250371603056</v>
          </cell>
          <cell r="D1020" t="str">
            <v>FOUZAN KHAN DURRANI</v>
          </cell>
        </row>
        <row r="1021">
          <cell r="C1021">
            <v>250371603057</v>
          </cell>
          <cell r="D1021" t="str">
            <v>MOKATI SRI LAKSHMI AISHWARYA</v>
          </cell>
        </row>
        <row r="1022">
          <cell r="C1022">
            <v>250371603058</v>
          </cell>
          <cell r="D1022" t="str">
            <v>MOSA HASINI</v>
          </cell>
        </row>
        <row r="1023">
          <cell r="C1023">
            <v>250371603059</v>
          </cell>
          <cell r="D1023" t="str">
            <v>MULLAPUDI MAHA LAKSHMI SRI</v>
          </cell>
        </row>
        <row r="1024">
          <cell r="C1024">
            <v>250371603060</v>
          </cell>
          <cell r="D1024" t="str">
            <v>MUNGAMURI JOHN DEVADAS</v>
          </cell>
        </row>
        <row r="1025">
          <cell r="C1025">
            <v>250371603061</v>
          </cell>
          <cell r="D1025" t="str">
            <v>MUTYALA VENKATA GANDHI VIVEK</v>
          </cell>
        </row>
        <row r="1026">
          <cell r="C1026">
            <v>250371603062</v>
          </cell>
          <cell r="D1026" t="str">
            <v>NAGANAPUDI MADHU SUDHANA RAJU</v>
          </cell>
        </row>
        <row r="1027">
          <cell r="C1027">
            <v>250371603063</v>
          </cell>
          <cell r="D1027" t="str">
            <v>NALAM JASWANTH KUMAR</v>
          </cell>
        </row>
        <row r="1028">
          <cell r="C1028">
            <v>250371603064</v>
          </cell>
          <cell r="D1028" t="str">
            <v>NAMA LAKSHMI DEEKSHITA</v>
          </cell>
        </row>
        <row r="1029">
          <cell r="C1029">
            <v>250371603065</v>
          </cell>
          <cell r="D1029" t="str">
            <v>NAMALA SIVA GANESH</v>
          </cell>
        </row>
        <row r="1030">
          <cell r="C1030">
            <v>250371603066</v>
          </cell>
          <cell r="D1030" t="str">
            <v>NANGANA DURGA SIVA PRASAD</v>
          </cell>
        </row>
        <row r="1031">
          <cell r="C1031">
            <v>250371603067</v>
          </cell>
          <cell r="D1031" t="str">
            <v>NARAM SRI LAKSHMI GANESH</v>
          </cell>
        </row>
        <row r="1032">
          <cell r="C1032">
            <v>250371603068</v>
          </cell>
          <cell r="D1032" t="str">
            <v>NELLIPUDI BRAHMA SRI SAI</v>
          </cell>
        </row>
        <row r="1033">
          <cell r="C1033">
            <v>250371603069</v>
          </cell>
          <cell r="D1033" t="str">
            <v>NIYATHI JAIN</v>
          </cell>
        </row>
        <row r="1034">
          <cell r="C1034">
            <v>250371603070</v>
          </cell>
          <cell r="D1034" t="str">
            <v>NUNNA BHANU KIRAN</v>
          </cell>
        </row>
        <row r="1035">
          <cell r="C1035">
            <v>250371603071</v>
          </cell>
          <cell r="D1035" t="str">
            <v>PACHIPALA VEERA NAGAMANI</v>
          </cell>
        </row>
        <row r="1036">
          <cell r="C1036">
            <v>250371603072</v>
          </cell>
          <cell r="D1036" t="str">
            <v>PADALA VARNIKA</v>
          </cell>
        </row>
        <row r="1037">
          <cell r="C1037">
            <v>250371603073</v>
          </cell>
          <cell r="D1037" t="str">
            <v>PARAMATA BALAJI</v>
          </cell>
        </row>
        <row r="1038">
          <cell r="C1038">
            <v>250371603074</v>
          </cell>
          <cell r="D1038" t="str">
            <v>PARIMI RAMU</v>
          </cell>
        </row>
        <row r="1039">
          <cell r="C1039">
            <v>250371603075</v>
          </cell>
          <cell r="D1039" t="str">
            <v>PIDUGU VEERA SIVA</v>
          </cell>
        </row>
        <row r="1040">
          <cell r="C1040">
            <v>250371603076</v>
          </cell>
          <cell r="D1040" t="str">
            <v>PUNYAMANTHULA S S R PAVAN KUMAR</v>
          </cell>
        </row>
        <row r="1041">
          <cell r="C1041">
            <v>250371603077</v>
          </cell>
          <cell r="D1041" t="str">
            <v>RAJANA DURGA PRASAD</v>
          </cell>
        </row>
        <row r="1042">
          <cell r="C1042">
            <v>250371603078</v>
          </cell>
          <cell r="D1042" t="str">
            <v>RAYAPALLI VAMSI RAM</v>
          </cell>
        </row>
        <row r="1043">
          <cell r="C1043">
            <v>250371603079</v>
          </cell>
          <cell r="D1043" t="str">
            <v>RAYUDU JASWANTH</v>
          </cell>
        </row>
        <row r="1044">
          <cell r="C1044">
            <v>250371603080</v>
          </cell>
          <cell r="D1044" t="str">
            <v>RAYUDU VEERA VENKATA LOKESH</v>
          </cell>
        </row>
        <row r="1045">
          <cell r="C1045">
            <v>250371603081</v>
          </cell>
          <cell r="D1045" t="str">
            <v>RIMMALAPUDI SUJITH KUMAR</v>
          </cell>
        </row>
        <row r="1046">
          <cell r="C1046">
            <v>250371603082</v>
          </cell>
          <cell r="D1046" t="str">
            <v>RISHI KUMAR P JAIN</v>
          </cell>
        </row>
        <row r="1047">
          <cell r="C1047">
            <v>250371603083</v>
          </cell>
          <cell r="D1047" t="str">
            <v>RUTHALA DURGA RAM KUMAR</v>
          </cell>
        </row>
        <row r="1048">
          <cell r="C1048">
            <v>250371603084</v>
          </cell>
          <cell r="D1048" t="str">
            <v>SATHI BHAGAVAN REDDY</v>
          </cell>
        </row>
        <row r="1049">
          <cell r="C1049">
            <v>250371603085</v>
          </cell>
          <cell r="D1049" t="str">
            <v>SAYYED IRFAN</v>
          </cell>
        </row>
        <row r="1050">
          <cell r="C1050">
            <v>250371603086</v>
          </cell>
          <cell r="D1050" t="str">
            <v>SEERAM VEERA DURGA SREE PAVAN</v>
          </cell>
        </row>
        <row r="1051">
          <cell r="C1051">
            <v>250371603087</v>
          </cell>
          <cell r="D1051" t="str">
            <v>SHAIK MASTAN</v>
          </cell>
        </row>
        <row r="1052">
          <cell r="C1052">
            <v>250371603088</v>
          </cell>
          <cell r="D1052" t="str">
            <v>SHEIK ABDHUL SATTAR</v>
          </cell>
        </row>
        <row r="1053">
          <cell r="C1053">
            <v>250371603089</v>
          </cell>
          <cell r="D1053" t="str">
            <v>SHEIK HAZARATH GOUSE</v>
          </cell>
        </row>
        <row r="1054">
          <cell r="C1054">
            <v>250371603090</v>
          </cell>
          <cell r="D1054" t="str">
            <v>SONI LAXIT</v>
          </cell>
        </row>
        <row r="1055">
          <cell r="C1055">
            <v>250371603091</v>
          </cell>
          <cell r="D1055" t="str">
            <v>TADOJU KAVYANJALI</v>
          </cell>
        </row>
        <row r="1056">
          <cell r="C1056">
            <v>250371603092</v>
          </cell>
          <cell r="D1056" t="str">
            <v>TAMMANA ANJANA</v>
          </cell>
        </row>
        <row r="1057">
          <cell r="C1057">
            <v>250371603093</v>
          </cell>
          <cell r="D1057" t="str">
            <v>TAMMINA CHODAK AKSHAJ</v>
          </cell>
        </row>
        <row r="1058">
          <cell r="C1058">
            <v>250371603094</v>
          </cell>
          <cell r="D1058" t="str">
            <v>TANARI GANGAGOWTHAM</v>
          </cell>
        </row>
        <row r="1059">
          <cell r="C1059">
            <v>250371603095</v>
          </cell>
          <cell r="D1059" t="str">
            <v>THADI DEEPIKA</v>
          </cell>
        </row>
        <row r="1060">
          <cell r="C1060">
            <v>250371603096</v>
          </cell>
          <cell r="D1060" t="str">
            <v>THOGU YUKSHITA</v>
          </cell>
        </row>
        <row r="1061">
          <cell r="C1061">
            <v>250371603097</v>
          </cell>
          <cell r="D1061" t="str">
            <v>TULIKA BALA</v>
          </cell>
        </row>
        <row r="1062">
          <cell r="C1062">
            <v>250371603098</v>
          </cell>
          <cell r="D1062" t="str">
            <v>UBBANA SURYA TEJA</v>
          </cell>
        </row>
        <row r="1063">
          <cell r="C1063">
            <v>250371603099</v>
          </cell>
          <cell r="D1063" t="str">
            <v>VADDADI SRI RAMYA</v>
          </cell>
        </row>
        <row r="1064">
          <cell r="C1064">
            <v>250371603100</v>
          </cell>
          <cell r="D1064" t="str">
            <v>VARI DHANUSH KARTHIK</v>
          </cell>
        </row>
        <row r="1065">
          <cell r="C1065">
            <v>250371603101</v>
          </cell>
          <cell r="D1065" t="str">
            <v>VASAMSETTI SIVA RAMA KRISHNA</v>
          </cell>
        </row>
        <row r="1066">
          <cell r="C1066">
            <v>250371603102</v>
          </cell>
          <cell r="D1066" t="str">
            <v>VATTURI MANOHAR</v>
          </cell>
        </row>
        <row r="1067">
          <cell r="C1067">
            <v>250371603103</v>
          </cell>
          <cell r="D1067" t="str">
            <v>VENNA NAGA SIVASATYA SRI PARDHASARADHI</v>
          </cell>
        </row>
        <row r="1068">
          <cell r="C1068">
            <v>250371603104</v>
          </cell>
          <cell r="D1068" t="str">
            <v>VENNA SOWJANYA</v>
          </cell>
        </row>
        <row r="1069">
          <cell r="C1069">
            <v>250371603105</v>
          </cell>
          <cell r="D1069" t="str">
            <v>VUNDAMATLA SIVA</v>
          </cell>
        </row>
        <row r="1070">
          <cell r="C1070">
            <v>250371603106</v>
          </cell>
          <cell r="D1070" t="str">
            <v>YAANA JAIN</v>
          </cell>
        </row>
        <row r="1071">
          <cell r="C1071">
            <v>250371603107</v>
          </cell>
          <cell r="D1071" t="str">
            <v>YOGITA JAIN</v>
          </cell>
        </row>
        <row r="1072">
          <cell r="C1072">
            <v>250371604001</v>
          </cell>
          <cell r="D1072" t="str">
            <v>ADDANKI SATYA SANDEEP</v>
          </cell>
        </row>
        <row r="1073">
          <cell r="C1073">
            <v>250371604002</v>
          </cell>
          <cell r="D1073" t="str">
            <v xml:space="preserve">ANKEM NAGA MANIKANTA </v>
          </cell>
        </row>
        <row r="1074">
          <cell r="C1074">
            <v>250371604003</v>
          </cell>
          <cell r="D1074" t="str">
            <v>APPARI SATYADEVA UMACHANDRA HASINI</v>
          </cell>
        </row>
        <row r="1075">
          <cell r="C1075">
            <v>250371604004</v>
          </cell>
          <cell r="D1075" t="str">
            <v>AVVA SURYA PRABHATH</v>
          </cell>
        </row>
        <row r="1076">
          <cell r="C1076">
            <v>250371604005</v>
          </cell>
          <cell r="D1076" t="str">
            <v>SATYAMSETTI BALA SUDHEER</v>
          </cell>
        </row>
        <row r="1077">
          <cell r="C1077">
            <v>250371604006</v>
          </cell>
          <cell r="D1077" t="str">
            <v xml:space="preserve">BATTINA DEEKSITHA LAKSHMI </v>
          </cell>
        </row>
        <row r="1078">
          <cell r="C1078">
            <v>250371604007</v>
          </cell>
          <cell r="D1078" t="str">
            <v>BOLISETTI KIRAN RAM</v>
          </cell>
        </row>
        <row r="1079">
          <cell r="C1079">
            <v>250371604008</v>
          </cell>
          <cell r="D1079" t="str">
            <v>BORUSU GOWTHAM SHANMUKA SAI</v>
          </cell>
        </row>
        <row r="1080">
          <cell r="C1080">
            <v>250371604009</v>
          </cell>
          <cell r="D1080" t="str">
            <v>BURRA VENKATA DURGA LAKSHMI</v>
          </cell>
        </row>
        <row r="1081">
          <cell r="C1081">
            <v>250371604010</v>
          </cell>
          <cell r="D1081" t="str">
            <v>CHEBROLU SRI NARENDRA SAINADH</v>
          </cell>
        </row>
        <row r="1082">
          <cell r="C1082">
            <v>250371604011</v>
          </cell>
          <cell r="D1082" t="str">
            <v xml:space="preserve">CHEKKA LIKITHA </v>
          </cell>
        </row>
        <row r="1083">
          <cell r="C1083">
            <v>250371604012</v>
          </cell>
          <cell r="D1083" t="str">
            <v xml:space="preserve">CHELLUNOINA MANIKANTA SWAMI </v>
          </cell>
        </row>
        <row r="1084">
          <cell r="C1084">
            <v>250371604013</v>
          </cell>
          <cell r="D1084" t="str">
            <v>CHIKKAM SURYA RATNA SRI</v>
          </cell>
        </row>
        <row r="1085">
          <cell r="C1085">
            <v>250371604014</v>
          </cell>
          <cell r="D1085" t="str">
            <v>DEVARAKONDA KARTHEEK</v>
          </cell>
        </row>
        <row r="1086">
          <cell r="C1086">
            <v>250371604015</v>
          </cell>
          <cell r="D1086" t="str">
            <v>DEVUPALLI  NIVEDITHA SAI SREE</v>
          </cell>
        </row>
        <row r="1087">
          <cell r="C1087">
            <v>250371604016</v>
          </cell>
          <cell r="D1087" t="str">
            <v>DUNGA PADMAVALLI</v>
          </cell>
        </row>
        <row r="1088">
          <cell r="C1088">
            <v>250371604017</v>
          </cell>
          <cell r="D1088" t="str">
            <v>GAMPALA CHAITANAYA</v>
          </cell>
        </row>
        <row r="1089">
          <cell r="C1089">
            <v>250371604018</v>
          </cell>
          <cell r="D1089" t="str">
            <v>GOKAVARAPU LAKSHMI NARAYANA KISHORE</v>
          </cell>
        </row>
        <row r="1090">
          <cell r="C1090">
            <v>250371604019</v>
          </cell>
          <cell r="D1090" t="str">
            <v>GOLLAPALLI ESWAR SURYA SAI ARJUN LAKSHMAN</v>
          </cell>
        </row>
        <row r="1091">
          <cell r="C1091">
            <v>250371604020</v>
          </cell>
          <cell r="D1091" t="str">
            <v xml:space="preserve">GOLLAPALLI HEMANTH KUMAR </v>
          </cell>
        </row>
        <row r="1092">
          <cell r="C1092">
            <v>250371604021</v>
          </cell>
          <cell r="D1092" t="str">
            <v>GOLLU TARUN</v>
          </cell>
        </row>
        <row r="1093">
          <cell r="C1093">
            <v>250371604022</v>
          </cell>
          <cell r="D1093" t="str">
            <v xml:space="preserve">GUTTULA PRABHU CHARAN TEJA </v>
          </cell>
        </row>
        <row r="1094">
          <cell r="C1094">
            <v>250371604023</v>
          </cell>
          <cell r="D1094" t="str">
            <v xml:space="preserve">JAKKA CHARISHMA DEEPIKA </v>
          </cell>
        </row>
        <row r="1095">
          <cell r="C1095">
            <v>250371604024</v>
          </cell>
          <cell r="D1095" t="str">
            <v>JAYMANGALA TEJA</v>
          </cell>
        </row>
        <row r="1096">
          <cell r="C1096">
            <v>250371604025</v>
          </cell>
          <cell r="D1096" t="str">
            <v xml:space="preserve">KAKADA  BABI </v>
          </cell>
        </row>
        <row r="1097">
          <cell r="C1097">
            <v>250371604026</v>
          </cell>
          <cell r="D1097" t="str">
            <v>KARRI KARTHIK GOVIND</v>
          </cell>
        </row>
        <row r="1098">
          <cell r="C1098">
            <v>250371604027</v>
          </cell>
          <cell r="D1098" t="str">
            <v>KODELA MOHAN RAJU VENKATA DURGA  BABU</v>
          </cell>
        </row>
        <row r="1099">
          <cell r="C1099">
            <v>250371604028</v>
          </cell>
          <cell r="D1099" t="str">
            <v>KOMALI JASWANTH</v>
          </cell>
        </row>
        <row r="1100">
          <cell r="C1100">
            <v>250371604029</v>
          </cell>
          <cell r="D1100" t="str">
            <v>KONKI ARAVIND SWAMY</v>
          </cell>
        </row>
        <row r="1101">
          <cell r="C1101">
            <v>250371604030</v>
          </cell>
          <cell r="D1101" t="str">
            <v>KOPPISETTI BHAVYA SRI</v>
          </cell>
        </row>
        <row r="1102">
          <cell r="C1102">
            <v>250371604031</v>
          </cell>
          <cell r="D1102" t="str">
            <v>KOTA RAMYA</v>
          </cell>
        </row>
        <row r="1103">
          <cell r="C1103">
            <v>250371604032</v>
          </cell>
          <cell r="D1103" t="str">
            <v xml:space="preserve">LIKHITH KOMMALA </v>
          </cell>
        </row>
        <row r="1104">
          <cell r="C1104">
            <v>250371604033</v>
          </cell>
          <cell r="D1104" t="str">
            <v>M SAI HARSHAVARDHAN</v>
          </cell>
        </row>
        <row r="1105">
          <cell r="C1105">
            <v>250371604034</v>
          </cell>
          <cell r="D1105" t="str">
            <v xml:space="preserve">MADINA GANESH CHARAN </v>
          </cell>
        </row>
        <row r="1106">
          <cell r="C1106">
            <v>250371604035</v>
          </cell>
          <cell r="D1106" t="str">
            <v xml:space="preserve">MALLADI CHARAN TEJA </v>
          </cell>
        </row>
        <row r="1107">
          <cell r="C1107">
            <v>250371604036</v>
          </cell>
          <cell r="D1107" t="str">
            <v xml:space="preserve">MALLADI DHARMA TEJA </v>
          </cell>
        </row>
        <row r="1108">
          <cell r="C1108">
            <v>250371604037</v>
          </cell>
          <cell r="D1108" t="str">
            <v>MALLADI SREEKESH</v>
          </cell>
        </row>
        <row r="1109">
          <cell r="C1109">
            <v>250371604038</v>
          </cell>
          <cell r="D1109" t="str">
            <v xml:space="preserve">MANDAVILLI V N S S SRI DURGA ALEKHYA </v>
          </cell>
        </row>
        <row r="1110">
          <cell r="C1110">
            <v>250371604039</v>
          </cell>
          <cell r="D1110" t="str">
            <v xml:space="preserve">MOLETI CHARAN TEJA </v>
          </cell>
        </row>
        <row r="1111">
          <cell r="C1111">
            <v>250371604040</v>
          </cell>
          <cell r="D1111" t="str">
            <v xml:space="preserve">MORTHA JOEL ELISHA </v>
          </cell>
        </row>
        <row r="1112">
          <cell r="C1112">
            <v>250371604041</v>
          </cell>
          <cell r="D1112" t="str">
            <v>MUMMIDI MOHAN  NAGA SYAM SUNDAR</v>
          </cell>
        </row>
        <row r="1113">
          <cell r="C1113">
            <v>250371604042</v>
          </cell>
          <cell r="D1113" t="str">
            <v xml:space="preserve">NEELAM J D V V R  SAI LAKSHMI </v>
          </cell>
        </row>
        <row r="1114">
          <cell r="C1114">
            <v>250371604043</v>
          </cell>
          <cell r="D1114" t="str">
            <v>NEELAPALA VEERA MAHESH</v>
          </cell>
        </row>
        <row r="1115">
          <cell r="C1115">
            <v>250371604044</v>
          </cell>
          <cell r="D1115" t="str">
            <v>OLETI RAMBABU</v>
          </cell>
        </row>
        <row r="1116">
          <cell r="C1116">
            <v>250371604045</v>
          </cell>
          <cell r="D1116" t="str">
            <v>PAILA BHASKAAR POSI DURGA SAI</v>
          </cell>
        </row>
        <row r="1117">
          <cell r="C1117">
            <v>250371604046</v>
          </cell>
          <cell r="D1117" t="str">
            <v>PARVATHA DIVYA</v>
          </cell>
        </row>
        <row r="1118">
          <cell r="C1118">
            <v>250371604047</v>
          </cell>
          <cell r="D1118" t="str">
            <v>PECHETTI NAGA SREE SAI SHANMUKHA VASANTH</v>
          </cell>
        </row>
        <row r="1119">
          <cell r="C1119">
            <v>250371604048</v>
          </cell>
          <cell r="D1119" t="str">
            <v>PEMME NAGADURGA PRASAD</v>
          </cell>
        </row>
        <row r="1120">
          <cell r="C1120">
            <v>250371604049</v>
          </cell>
          <cell r="D1120" t="str">
            <v>PENTA GOPIKA DEVI</v>
          </cell>
        </row>
        <row r="1121">
          <cell r="C1121">
            <v>250371604050</v>
          </cell>
          <cell r="D1121" t="str">
            <v>PEPAKAYALA SOMALINGESWARA SIVA  KUMAR</v>
          </cell>
        </row>
        <row r="1122">
          <cell r="C1122">
            <v>250371604051</v>
          </cell>
          <cell r="D1122" t="str">
            <v xml:space="preserve">PEPAKAYALA VEERA VENKATA SATYANARAYANA </v>
          </cell>
        </row>
        <row r="1123">
          <cell r="C1123">
            <v>250371604052</v>
          </cell>
          <cell r="D1123" t="str">
            <v>POTHARAJU SAI SRI HASITHA</v>
          </cell>
        </row>
        <row r="1124">
          <cell r="C1124">
            <v>250371604053</v>
          </cell>
          <cell r="D1124" t="str">
            <v>REDDIPALLI SAI SIVA JYOTHI</v>
          </cell>
        </row>
        <row r="1125">
          <cell r="C1125">
            <v>250371604054</v>
          </cell>
          <cell r="D1125" t="str">
            <v>REDDY SRI LAKSHMI PRASANNA</v>
          </cell>
        </row>
        <row r="1126">
          <cell r="C1126">
            <v>250371604055</v>
          </cell>
          <cell r="D1126" t="str">
            <v>SHAIK  MUHAMMAD MUSTAFA</v>
          </cell>
        </row>
        <row r="1127">
          <cell r="C1127">
            <v>250371604056</v>
          </cell>
          <cell r="D1127" t="str">
            <v>GOPISETTI SURESH</v>
          </cell>
        </row>
        <row r="1128">
          <cell r="C1128">
            <v>250371604057</v>
          </cell>
          <cell r="D1128" t="str">
            <v>TEKUMUDI ESWARA PRASAD</v>
          </cell>
        </row>
        <row r="1129">
          <cell r="C1129">
            <v>250371604058</v>
          </cell>
          <cell r="D1129" t="str">
            <v>VASKURI VENKATA GANA PANDU RANGA SAI</v>
          </cell>
        </row>
        <row r="1130">
          <cell r="C1130">
            <v>250371604059</v>
          </cell>
          <cell r="D1130" t="str">
            <v>YALAMANCHILI SNEHALATHA LAKSHMI</v>
          </cell>
        </row>
        <row r="1131">
          <cell r="C1131">
            <v>250371604060</v>
          </cell>
          <cell r="D1131" t="str">
            <v xml:space="preserve">YARRAMNEEDI JAYA RAMAKRISHNA </v>
          </cell>
        </row>
        <row r="1132">
          <cell r="C1132">
            <v>250371604061</v>
          </cell>
          <cell r="D1132" t="str">
            <v xml:space="preserve">YASALAPU LAXMI NARAYANA </v>
          </cell>
        </row>
        <row r="1133">
          <cell r="C1133">
            <v>250371606001</v>
          </cell>
          <cell r="D1133" t="str">
            <v>AMBATI NAGESH</v>
          </cell>
        </row>
        <row r="1134">
          <cell r="C1134">
            <v>250371606002</v>
          </cell>
          <cell r="D1134" t="str">
            <v>ANUMANCHIPALLI SRINIVAS</v>
          </cell>
        </row>
        <row r="1135">
          <cell r="C1135">
            <v>250371606003</v>
          </cell>
          <cell r="D1135" t="str">
            <v>ANUSURI SAI RAJESH</v>
          </cell>
        </row>
        <row r="1136">
          <cell r="C1136">
            <v>250371606004</v>
          </cell>
          <cell r="D1136" t="str">
            <v>APPIKONDA JYOTHISH KUMAR</v>
          </cell>
        </row>
        <row r="1137">
          <cell r="C1137">
            <v>250371606005</v>
          </cell>
          <cell r="D1137" t="str">
            <v>BANDARU KOUSALYA RAM</v>
          </cell>
        </row>
        <row r="1138">
          <cell r="C1138">
            <v>250371606006</v>
          </cell>
          <cell r="D1138" t="str">
            <v>BINIPE MAMATHA</v>
          </cell>
        </row>
        <row r="1139">
          <cell r="C1139">
            <v>250371606007</v>
          </cell>
          <cell r="D1139" t="str">
            <v>CHILUVURI  SURYA SAHASRA</v>
          </cell>
        </row>
        <row r="1140">
          <cell r="C1140">
            <v>250371606008</v>
          </cell>
          <cell r="D1140" t="str">
            <v xml:space="preserve">CHINTAPALLI SREEDIVYA </v>
          </cell>
        </row>
        <row r="1141">
          <cell r="C1141">
            <v>250371606009</v>
          </cell>
          <cell r="D1141" t="str">
            <v xml:space="preserve">CHODIPILLI DEEVENA </v>
          </cell>
        </row>
        <row r="1142">
          <cell r="C1142">
            <v>250371606010</v>
          </cell>
          <cell r="D1142" t="str">
            <v>DESETTI SIVA RAMA KRISHNA</v>
          </cell>
        </row>
        <row r="1143">
          <cell r="C1143">
            <v>250371606011</v>
          </cell>
          <cell r="D1143" t="str">
            <v>DIMMITI DURGASAIBABU</v>
          </cell>
        </row>
        <row r="1144">
          <cell r="C1144">
            <v>250371606012</v>
          </cell>
          <cell r="D1144" t="str">
            <v xml:space="preserve">DUNNALA GOWRI NAGADEVI LAKSHMI PRATHYUSHA </v>
          </cell>
        </row>
        <row r="1145">
          <cell r="C1145">
            <v>250371606013</v>
          </cell>
          <cell r="D1145" t="str">
            <v>DWARAPUDI SWETHA SRI</v>
          </cell>
        </row>
        <row r="1146">
          <cell r="C1146">
            <v>250371606014</v>
          </cell>
          <cell r="D1146" t="str">
            <v>GANGUMALLA YEDUKONDALU</v>
          </cell>
        </row>
        <row r="1147">
          <cell r="C1147">
            <v>250371606015</v>
          </cell>
          <cell r="D1147" t="str">
            <v>GOPINAMBALA  VISHNU VARDHAN</v>
          </cell>
        </row>
        <row r="1148">
          <cell r="C1148">
            <v>250371606016</v>
          </cell>
          <cell r="D1148" t="str">
            <v xml:space="preserve">IMMANDI TANUSRI </v>
          </cell>
        </row>
        <row r="1149">
          <cell r="C1149">
            <v>250371606017</v>
          </cell>
          <cell r="D1149" t="str">
            <v xml:space="preserve">JARUGULLA MADAN KUMAR </v>
          </cell>
        </row>
        <row r="1150">
          <cell r="C1150">
            <v>250371606018</v>
          </cell>
          <cell r="D1150" t="str">
            <v>KAKI DEVI AMRUTHA HASINI</v>
          </cell>
        </row>
        <row r="1151">
          <cell r="C1151">
            <v>250371606019</v>
          </cell>
          <cell r="D1151" t="str">
            <v>KARINGU SRI VIDYA BHARATHI</v>
          </cell>
        </row>
        <row r="1152">
          <cell r="C1152">
            <v>250371606020</v>
          </cell>
          <cell r="D1152" t="str">
            <v>KARRI NAGA SATYASRI</v>
          </cell>
        </row>
        <row r="1153">
          <cell r="C1153">
            <v>250371606021</v>
          </cell>
          <cell r="D1153" t="str">
            <v>KASINA SATYA SURYA VISWANADH</v>
          </cell>
        </row>
        <row r="1154">
          <cell r="C1154">
            <v>250371606022</v>
          </cell>
          <cell r="D1154" t="str">
            <v>KEDARISETTI LALITHAMBIKA</v>
          </cell>
        </row>
        <row r="1155">
          <cell r="C1155">
            <v>250371606023</v>
          </cell>
          <cell r="D1155" t="str">
            <v>LACHIREDDY SYAM</v>
          </cell>
        </row>
        <row r="1156">
          <cell r="C1156">
            <v>250371606024</v>
          </cell>
          <cell r="D1156" t="str">
            <v>MADDURI NAGA DURGA SATYA VAISHNAVI DEVI</v>
          </cell>
        </row>
        <row r="1157">
          <cell r="C1157">
            <v>250371606025</v>
          </cell>
          <cell r="D1157" t="str">
            <v>MAKE LAKSHMI  ASWITHA KIRAN</v>
          </cell>
        </row>
        <row r="1158">
          <cell r="C1158">
            <v>250371606026</v>
          </cell>
          <cell r="D1158" t="str">
            <v>MALLUVALASA  TEJASWI</v>
          </cell>
        </row>
        <row r="1159">
          <cell r="C1159">
            <v>250371606027</v>
          </cell>
          <cell r="D1159" t="str">
            <v>MARINA RAMYA DURGA PRIYANKA</v>
          </cell>
        </row>
        <row r="1160">
          <cell r="C1160">
            <v>250371606028</v>
          </cell>
          <cell r="D1160" t="str">
            <v>MARRI JASWANTH</v>
          </cell>
        </row>
        <row r="1161">
          <cell r="C1161">
            <v>250371606029</v>
          </cell>
          <cell r="D1161" t="str">
            <v>MUDDANGULA JAYA  KISHORE</v>
          </cell>
        </row>
        <row r="1162">
          <cell r="C1162">
            <v>250371606030</v>
          </cell>
          <cell r="D1162" t="str">
            <v xml:space="preserve">NANDIKOLLA KARUN TEJA </v>
          </cell>
        </row>
        <row r="1163">
          <cell r="C1163">
            <v>250371606031</v>
          </cell>
          <cell r="D1163" t="str">
            <v>PALLELA KANAKA LAKSHMI RASAGNA</v>
          </cell>
        </row>
        <row r="1164">
          <cell r="C1164">
            <v>250371606032</v>
          </cell>
          <cell r="D1164" t="str">
            <v>PINAPOTHU LAKSHMINADH</v>
          </cell>
        </row>
        <row r="1165">
          <cell r="C1165">
            <v>250371606033</v>
          </cell>
          <cell r="D1165" t="str">
            <v xml:space="preserve">PITTA TEJA </v>
          </cell>
        </row>
        <row r="1166">
          <cell r="C1166">
            <v>250371606034</v>
          </cell>
          <cell r="D1166" t="str">
            <v>PUDI PREMA BHARATI HARIKA</v>
          </cell>
        </row>
        <row r="1167">
          <cell r="C1167">
            <v>250371606035</v>
          </cell>
          <cell r="D1167" t="str">
            <v>PUTTA AMRUTHA CHOWDARY</v>
          </cell>
        </row>
        <row r="1168">
          <cell r="C1168">
            <v>250371606036</v>
          </cell>
          <cell r="D1168" t="str">
            <v>RAJANA LAKSHMI  DURGA VENKATA GANGADHAR</v>
          </cell>
        </row>
        <row r="1169">
          <cell r="C1169">
            <v>250371606037</v>
          </cell>
          <cell r="D1169" t="str">
            <v xml:space="preserve">RAYAVARAPU SRINIVASA ADITYA </v>
          </cell>
        </row>
        <row r="1170">
          <cell r="C1170">
            <v>250371606038</v>
          </cell>
          <cell r="D1170" t="str">
            <v>REDDI PRASAD</v>
          </cell>
        </row>
        <row r="1171">
          <cell r="C1171">
            <v>250371606039</v>
          </cell>
          <cell r="D1171" t="str">
            <v>S.JAITESH</v>
          </cell>
        </row>
        <row r="1172">
          <cell r="C1172">
            <v>250371606040</v>
          </cell>
          <cell r="D1172" t="str">
            <v>SANIVARAPU MALLIKA</v>
          </cell>
        </row>
        <row r="1173">
          <cell r="C1173">
            <v>250371606041</v>
          </cell>
          <cell r="D1173" t="str">
            <v>SARIPALLI  VINOD</v>
          </cell>
        </row>
        <row r="1174">
          <cell r="C1174">
            <v>250371606042</v>
          </cell>
          <cell r="D1174" t="str">
            <v>SATRAPU LOKESH</v>
          </cell>
        </row>
        <row r="1175">
          <cell r="C1175">
            <v>250371606043</v>
          </cell>
          <cell r="D1175" t="str">
            <v>SINGAMPALLI NAVEEN KUMAR</v>
          </cell>
        </row>
        <row r="1176">
          <cell r="C1176">
            <v>250371606044</v>
          </cell>
          <cell r="D1176" t="str">
            <v>SINGAMSETTY SAI VENKATA INDRANI</v>
          </cell>
        </row>
        <row r="1177">
          <cell r="C1177">
            <v>250371606045</v>
          </cell>
          <cell r="D1177" t="str">
            <v>TARINI BANDE</v>
          </cell>
        </row>
        <row r="1178">
          <cell r="C1178">
            <v>250371606046</v>
          </cell>
          <cell r="D1178" t="str">
            <v>TEEDA BHASKAR SUBRAMANYAM RAJ</v>
          </cell>
        </row>
        <row r="1179">
          <cell r="C1179">
            <v>250371606047</v>
          </cell>
          <cell r="D1179" t="str">
            <v>TONDAPU KUMAR SAI VENKATA SUMANTH REDDY</v>
          </cell>
        </row>
        <row r="1180">
          <cell r="C1180">
            <v>250371606048</v>
          </cell>
          <cell r="D1180" t="str">
            <v xml:space="preserve">U HEMAN KUMAR </v>
          </cell>
        </row>
        <row r="1181">
          <cell r="C1181">
            <v>250371606049</v>
          </cell>
          <cell r="D1181" t="str">
            <v>VARANASI N S V S K GOPIKA PURNIMA</v>
          </cell>
        </row>
        <row r="1182">
          <cell r="C1182">
            <v>250371606050</v>
          </cell>
          <cell r="D1182" t="str">
            <v>VEERRAVILLI SURYA CHARAN</v>
          </cell>
        </row>
        <row r="1183">
          <cell r="C1183">
            <v>250371606051</v>
          </cell>
          <cell r="D1183" t="str">
            <v>VISARAPU VINAY RAGHAVENDRA</v>
          </cell>
        </row>
        <row r="1184">
          <cell r="C1184">
            <v>250371606052</v>
          </cell>
          <cell r="D1184" t="str">
            <v xml:space="preserve">YALAMILLI DIVYA </v>
          </cell>
        </row>
        <row r="1185">
          <cell r="C1185">
            <v>250371611001</v>
          </cell>
          <cell r="D1185" t="str">
            <v>ABBIREDDI SUSMITHA REDDY</v>
          </cell>
        </row>
        <row r="1186">
          <cell r="C1186">
            <v>250371611002</v>
          </cell>
          <cell r="D1186" t="str">
            <v>ABBIREDDY CHAITRA VARSHITHA</v>
          </cell>
        </row>
        <row r="1187">
          <cell r="C1187">
            <v>250371611003</v>
          </cell>
          <cell r="D1187" t="str">
            <v>ADARI VIVEK HARISH</v>
          </cell>
        </row>
        <row r="1188">
          <cell r="C1188">
            <v>250371611004</v>
          </cell>
          <cell r="D1188" t="str">
            <v>ALLAM HEMA SIDDU</v>
          </cell>
        </row>
        <row r="1189">
          <cell r="C1189">
            <v>250371611005</v>
          </cell>
          <cell r="D1189" t="str">
            <v>ALLU BHAVANA</v>
          </cell>
        </row>
        <row r="1190">
          <cell r="C1190">
            <v>250371611006</v>
          </cell>
          <cell r="D1190" t="str">
            <v>AMBATI VEERA VENKATA SASI YASODHAR</v>
          </cell>
        </row>
        <row r="1191">
          <cell r="C1191">
            <v>250371611007</v>
          </cell>
          <cell r="D1191" t="str">
            <v>ANASURI HEMANTH SAI</v>
          </cell>
        </row>
        <row r="1192">
          <cell r="C1192">
            <v>250371611008</v>
          </cell>
          <cell r="D1192" t="str">
            <v>ANUSURI SHILPA</v>
          </cell>
        </row>
        <row r="1193">
          <cell r="C1193">
            <v>250371611009</v>
          </cell>
          <cell r="D1193" t="str">
            <v>APPANNAPALLI THARUNESH</v>
          </cell>
        </row>
        <row r="1194">
          <cell r="C1194">
            <v>250371611010</v>
          </cell>
          <cell r="D1194" t="str">
            <v>APPIKONDA RAVI</v>
          </cell>
        </row>
        <row r="1195">
          <cell r="C1195">
            <v>250371611011</v>
          </cell>
          <cell r="D1195" t="str">
            <v>ARDANI RAJU</v>
          </cell>
        </row>
        <row r="1196">
          <cell r="C1196">
            <v>250371611012</v>
          </cell>
          <cell r="D1196" t="str">
            <v>ARDHANI KALYAN RAM</v>
          </cell>
        </row>
        <row r="1197">
          <cell r="C1197">
            <v>250371611013</v>
          </cell>
          <cell r="D1197" t="str">
            <v>ARUMILLI HARITHA VARDHANI</v>
          </cell>
        </row>
        <row r="1198">
          <cell r="C1198">
            <v>250371611014</v>
          </cell>
          <cell r="D1198" t="str">
            <v>BALLA KRUPA SHARON</v>
          </cell>
        </row>
        <row r="1199">
          <cell r="C1199">
            <v>250371611015</v>
          </cell>
          <cell r="D1199" t="str">
            <v>BANDI RISHITHA SRI</v>
          </cell>
        </row>
        <row r="1200">
          <cell r="C1200">
            <v>250371611016</v>
          </cell>
          <cell r="D1200" t="str">
            <v>BASINA RATNA KUMAR</v>
          </cell>
        </row>
        <row r="1201">
          <cell r="C1201">
            <v>250371611017</v>
          </cell>
          <cell r="D1201" t="str">
            <v>BATTHINA SANTHOSH KUMAR</v>
          </cell>
        </row>
        <row r="1202">
          <cell r="C1202">
            <v>250371611018</v>
          </cell>
          <cell r="D1202" t="str">
            <v>BEERA ABHISHEK</v>
          </cell>
        </row>
        <row r="1203">
          <cell r="C1203">
            <v>250371611019</v>
          </cell>
          <cell r="D1203" t="str">
            <v>BELLAPUKONDA VAISHNAVI DURGANBHIKA</v>
          </cell>
        </row>
        <row r="1204">
          <cell r="C1204">
            <v>250371611020</v>
          </cell>
          <cell r="D1204" t="str">
            <v>BOGIREDDY CHANDANA VENKATA SAI</v>
          </cell>
        </row>
        <row r="1205">
          <cell r="C1205">
            <v>250371611021</v>
          </cell>
          <cell r="D1205" t="str">
            <v>BOLLAM KANCHANA</v>
          </cell>
        </row>
        <row r="1206">
          <cell r="C1206">
            <v>250371611022</v>
          </cell>
          <cell r="D1206" t="str">
            <v>BUDALA ANISHA</v>
          </cell>
        </row>
        <row r="1207">
          <cell r="C1207">
            <v>250371611023</v>
          </cell>
          <cell r="D1207" t="str">
            <v>CHEKKA SRINIVAS</v>
          </cell>
        </row>
        <row r="1208">
          <cell r="C1208">
            <v>250371611024</v>
          </cell>
          <cell r="D1208" t="str">
            <v>CHEVALA SUMANTH TEJA</v>
          </cell>
        </row>
        <row r="1209">
          <cell r="C1209">
            <v>250371611025</v>
          </cell>
          <cell r="D1209" t="str">
            <v>CHIDAGALA VEERA KRISHNA MANIKANTA</v>
          </cell>
        </row>
        <row r="1210">
          <cell r="C1210">
            <v>250371611026</v>
          </cell>
          <cell r="D1210" t="str">
            <v>CHILAPAREDDY JAYA SAI HANSIKA</v>
          </cell>
        </row>
        <row r="1211">
          <cell r="C1211">
            <v>250371611027</v>
          </cell>
          <cell r="D1211" t="str">
            <v>CHINTA DILEEP</v>
          </cell>
        </row>
        <row r="1212">
          <cell r="C1212">
            <v>250371611028</v>
          </cell>
          <cell r="D1212" t="str">
            <v>CHINTA SRI VENKATA DURGA HASINI</v>
          </cell>
        </row>
        <row r="1213">
          <cell r="C1213">
            <v>250371611029</v>
          </cell>
          <cell r="D1213" t="str">
            <v xml:space="preserve">CHINTAPALLI TULASI NAGA LAKSHMI </v>
          </cell>
        </row>
        <row r="1214">
          <cell r="C1214">
            <v>250371611030</v>
          </cell>
          <cell r="D1214" t="str">
            <v>CHITTALA VEERA LAKSHMI JAHNAVI</v>
          </cell>
        </row>
        <row r="1215">
          <cell r="C1215">
            <v>250371611031</v>
          </cell>
          <cell r="D1215" t="str">
            <v>CHOLLANGI VEERA CHANDRIKA</v>
          </cell>
        </row>
        <row r="1216">
          <cell r="C1216">
            <v>250371611032</v>
          </cell>
          <cell r="D1216" t="str">
            <v>DAMMU MANIHARSHA SAI</v>
          </cell>
        </row>
        <row r="1217">
          <cell r="C1217">
            <v>250371611033</v>
          </cell>
          <cell r="D1217" t="str">
            <v>DEYYALA MANI KANTA</v>
          </cell>
        </row>
        <row r="1218">
          <cell r="C1218">
            <v>250371611034</v>
          </cell>
          <cell r="D1218" t="str">
            <v>DIALLO JEAN PAUL</v>
          </cell>
        </row>
        <row r="1219">
          <cell r="C1219">
            <v>250371611035</v>
          </cell>
          <cell r="D1219" t="str">
            <v>DUVVA NAGA VENKATA RAMANA</v>
          </cell>
        </row>
        <row r="1220">
          <cell r="C1220">
            <v>250371611036</v>
          </cell>
          <cell r="D1220" t="str">
            <v>EERLI DAVID RAJU</v>
          </cell>
        </row>
        <row r="1221">
          <cell r="C1221">
            <v>250371611037</v>
          </cell>
          <cell r="D1221" t="str">
            <v>EPPILI VIMALA KUMARI</v>
          </cell>
        </row>
        <row r="1222">
          <cell r="C1222">
            <v>250371611038</v>
          </cell>
          <cell r="D1222" t="str">
            <v>GANASULA VEERABABU</v>
          </cell>
        </row>
        <row r="1223">
          <cell r="C1223">
            <v>250371611039</v>
          </cell>
          <cell r="D1223" t="str">
            <v>GANTA HARSHAPRAMITHI</v>
          </cell>
        </row>
        <row r="1224">
          <cell r="C1224">
            <v>250371611040</v>
          </cell>
          <cell r="D1224" t="str">
            <v>GANTA JITYA</v>
          </cell>
        </row>
        <row r="1225">
          <cell r="C1225">
            <v>250371611041</v>
          </cell>
          <cell r="D1225" t="str">
            <v>GIDUTURI NAGA SAI VENKATA DURGA MANINATH</v>
          </cell>
        </row>
        <row r="1226">
          <cell r="C1226">
            <v>250371611042</v>
          </cell>
          <cell r="D1226" t="str">
            <v>GIDUTURI TEJASRI</v>
          </cell>
        </row>
        <row r="1227">
          <cell r="C1227">
            <v>250371611043</v>
          </cell>
          <cell r="D1227" t="str">
            <v>GOLLA VINAY KUMAR</v>
          </cell>
        </row>
        <row r="1228">
          <cell r="C1228">
            <v>250371611044</v>
          </cell>
          <cell r="D1228" t="str">
            <v>GOLUSU AKASH</v>
          </cell>
        </row>
        <row r="1229">
          <cell r="C1229">
            <v>250371611045</v>
          </cell>
          <cell r="D1229" t="str">
            <v>GOPI NAGA MANOJ</v>
          </cell>
        </row>
        <row r="1230">
          <cell r="C1230">
            <v>250371611046</v>
          </cell>
          <cell r="D1230" t="str">
            <v>GUBBALA SURYA PRAKASH</v>
          </cell>
        </row>
        <row r="1231">
          <cell r="C1231">
            <v>250371611047</v>
          </cell>
          <cell r="D1231" t="str">
            <v>GUNDABATHULA HARI NAGA CHANDRIKA</v>
          </cell>
        </row>
        <row r="1232">
          <cell r="C1232">
            <v>250371611048</v>
          </cell>
          <cell r="D1232" t="str">
            <v>GUNUPUDI SRI SAI VENKATA DARSHIKA</v>
          </cell>
        </row>
        <row r="1233">
          <cell r="C1233">
            <v>250371611049</v>
          </cell>
          <cell r="D1233" t="str">
            <v>GURAJANA GEETHA LAHARI</v>
          </cell>
        </row>
        <row r="1234">
          <cell r="C1234">
            <v>250371611050</v>
          </cell>
          <cell r="D1234" t="str">
            <v>INDANA JYOTHI KUMARI</v>
          </cell>
        </row>
        <row r="1235">
          <cell r="C1235">
            <v>250371611051</v>
          </cell>
          <cell r="D1235" t="str">
            <v>JAGATARAPU SAI RAM DURGA</v>
          </cell>
        </row>
        <row r="1236">
          <cell r="C1236">
            <v>250371611052</v>
          </cell>
          <cell r="D1236" t="str">
            <v>JALAGAM VINAY SURYA</v>
          </cell>
        </row>
        <row r="1237">
          <cell r="C1237">
            <v>250371611053</v>
          </cell>
          <cell r="D1237" t="str">
            <v>JAMPANA MEGHANA</v>
          </cell>
        </row>
        <row r="1238">
          <cell r="C1238">
            <v>250371611054</v>
          </cell>
          <cell r="D1238" t="str">
            <v>JUJJURU CHANDINI</v>
          </cell>
        </row>
        <row r="1239">
          <cell r="C1239">
            <v>250371611055</v>
          </cell>
          <cell r="D1239" t="str">
            <v>JYESTA SUSHMA CHOWDARY</v>
          </cell>
        </row>
        <row r="1240">
          <cell r="C1240">
            <v>250371611056</v>
          </cell>
          <cell r="D1240" t="str">
            <v>JYOTHULA LIKITHA</v>
          </cell>
        </row>
        <row r="1241">
          <cell r="C1241">
            <v>250371611057</v>
          </cell>
          <cell r="D1241" t="str">
            <v>KADA NAVYA VENKATA MANGA DEVI</v>
          </cell>
        </row>
        <row r="1242">
          <cell r="C1242">
            <v>250371611058</v>
          </cell>
          <cell r="D1242" t="str">
            <v>KADIPINA DURGA PRASAD</v>
          </cell>
        </row>
        <row r="1243">
          <cell r="C1243">
            <v>250371611059</v>
          </cell>
          <cell r="D1243" t="str">
            <v>KADULURI VENKATA DURGA SATYA NIVEDITA</v>
          </cell>
        </row>
        <row r="1244">
          <cell r="C1244">
            <v>250371611060</v>
          </cell>
          <cell r="D1244" t="str">
            <v>KAKI MOHAN SAI AVINASH</v>
          </cell>
        </row>
        <row r="1245">
          <cell r="C1245">
            <v>250371611061</v>
          </cell>
          <cell r="D1245" t="str">
            <v>KALAKOTI JAGADEESH</v>
          </cell>
        </row>
        <row r="1246">
          <cell r="C1246">
            <v>250371611062</v>
          </cell>
          <cell r="D1246" t="str">
            <v>KALIDINDI BHUVANA SAI KRISHNAVENI</v>
          </cell>
        </row>
        <row r="1247">
          <cell r="C1247">
            <v>250371611063</v>
          </cell>
          <cell r="D1247" t="str">
            <v>KAMINENI BANGARU KAVYA SREE</v>
          </cell>
        </row>
        <row r="1248">
          <cell r="C1248">
            <v>250371611064</v>
          </cell>
          <cell r="D1248" t="str">
            <v>KANAKALA DEVI PRASANNA</v>
          </cell>
        </row>
        <row r="1249">
          <cell r="C1249">
            <v>250371611065</v>
          </cell>
          <cell r="D1249" t="str">
            <v>KANAKALA SAILAJA</v>
          </cell>
        </row>
        <row r="1250">
          <cell r="C1250">
            <v>250371611066</v>
          </cell>
          <cell r="D1250" t="str">
            <v>KANDIPALLI PRAVEEN KUMAR</v>
          </cell>
        </row>
        <row r="1251">
          <cell r="C1251">
            <v>250371611067</v>
          </cell>
          <cell r="D1251" t="str">
            <v>KANDULA ROHINI</v>
          </cell>
        </row>
        <row r="1252">
          <cell r="C1252">
            <v>250371611068</v>
          </cell>
          <cell r="D1252" t="str">
            <v>KANTAPUREDDY HARINI SHIVA</v>
          </cell>
        </row>
        <row r="1253">
          <cell r="C1253">
            <v>250371611069</v>
          </cell>
          <cell r="D1253" t="str">
            <v>KARRI MAHESWARI</v>
          </cell>
        </row>
        <row r="1254">
          <cell r="C1254">
            <v>250371611070</v>
          </cell>
          <cell r="D1254" t="str">
            <v>KARRI REVATHI VEDA SRI</v>
          </cell>
        </row>
        <row r="1255">
          <cell r="C1255">
            <v>250371611071</v>
          </cell>
          <cell r="D1255" t="str">
            <v>KASI SATYA SRI</v>
          </cell>
        </row>
        <row r="1256">
          <cell r="C1256">
            <v>250371611072</v>
          </cell>
          <cell r="D1256" t="str">
            <v>KASIMDEVULA NARENDRA</v>
          </cell>
        </row>
        <row r="1257">
          <cell r="C1257">
            <v>250371611073</v>
          </cell>
          <cell r="D1257" t="str">
            <v>KASIREDDY KOWSALYA</v>
          </cell>
        </row>
        <row r="1258">
          <cell r="C1258">
            <v>250371611074</v>
          </cell>
          <cell r="D1258" t="str">
            <v>KASUMARTHI NAGA VIJAY JIVAN PRAKASH KUMAR</v>
          </cell>
        </row>
        <row r="1259">
          <cell r="C1259">
            <v>250371611075</v>
          </cell>
          <cell r="D1259" t="str">
            <v>KATHARI THANVI</v>
          </cell>
        </row>
        <row r="1260">
          <cell r="C1260">
            <v>250371611076</v>
          </cell>
          <cell r="D1260" t="str">
            <v>KATTA LOKESH</v>
          </cell>
        </row>
        <row r="1261">
          <cell r="C1261">
            <v>250371611077</v>
          </cell>
          <cell r="D1261" t="str">
            <v>KATTA SRI VENKATA PAVAN KUMAR</v>
          </cell>
        </row>
        <row r="1262">
          <cell r="C1262">
            <v>250371611078</v>
          </cell>
          <cell r="D1262" t="str">
            <v>KESARAPU YESUBABU</v>
          </cell>
        </row>
        <row r="1263">
          <cell r="C1263">
            <v>250371611079</v>
          </cell>
          <cell r="D1263" t="str">
            <v xml:space="preserve">KESAVARAPU VENKATA RATNAM </v>
          </cell>
        </row>
        <row r="1264">
          <cell r="C1264">
            <v>250371611080</v>
          </cell>
          <cell r="D1264" t="str">
            <v>KETHA VAMSI</v>
          </cell>
        </row>
        <row r="1265">
          <cell r="C1265">
            <v>250371611081</v>
          </cell>
          <cell r="D1265" t="str">
            <v>KOLA JAYASRI</v>
          </cell>
        </row>
        <row r="1266">
          <cell r="C1266">
            <v>250371611082</v>
          </cell>
          <cell r="D1266" t="str">
            <v>KOLA UJWALA TEJASWINI</v>
          </cell>
        </row>
        <row r="1267">
          <cell r="C1267">
            <v>250371611083</v>
          </cell>
          <cell r="D1267" t="str">
            <v>KOLANKA VEERA GANESH</v>
          </cell>
        </row>
        <row r="1268">
          <cell r="C1268">
            <v>250371611084</v>
          </cell>
          <cell r="D1268" t="str">
            <v>KONDEPUDI SWAMY VENKATESH</v>
          </cell>
        </row>
        <row r="1269">
          <cell r="C1269">
            <v>250371611085</v>
          </cell>
          <cell r="D1269" t="str">
            <v>KONKI JOSEPH</v>
          </cell>
        </row>
        <row r="1270">
          <cell r="C1270">
            <v>250371611086</v>
          </cell>
          <cell r="D1270" t="str">
            <v>KORIPALLI BHAVYA RATNA SRI</v>
          </cell>
        </row>
        <row r="1271">
          <cell r="C1271">
            <v>250371611087</v>
          </cell>
          <cell r="D1271" t="str">
            <v>KOSURI ISWARYA</v>
          </cell>
        </row>
        <row r="1272">
          <cell r="C1272">
            <v>250371611088</v>
          </cell>
          <cell r="D1272" t="str">
            <v xml:space="preserve">KOTANI RAJASRI </v>
          </cell>
        </row>
        <row r="1273">
          <cell r="C1273">
            <v>250371611089</v>
          </cell>
          <cell r="D1273" t="str">
            <v>KOTHALA BHAVYA</v>
          </cell>
        </row>
        <row r="1274">
          <cell r="C1274">
            <v>250371611090</v>
          </cell>
          <cell r="D1274" t="str">
            <v>KOTHALA YASWANTH</v>
          </cell>
        </row>
        <row r="1275">
          <cell r="C1275">
            <v>250371611091</v>
          </cell>
          <cell r="D1275" t="str">
            <v>KOTIPALLI ADITYA SWAROOP</v>
          </cell>
        </row>
        <row r="1276">
          <cell r="C1276">
            <v>250371611092</v>
          </cell>
          <cell r="D1276" t="str">
            <v>KOTIPALLI HARIKA SURYA RAMADEVI</v>
          </cell>
        </row>
        <row r="1277">
          <cell r="C1277">
            <v>250371611093</v>
          </cell>
          <cell r="D1277" t="str">
            <v>KOTIPALLI HARSHITHA LAKSHMI CHANDRA SREE</v>
          </cell>
        </row>
        <row r="1278">
          <cell r="C1278">
            <v>250371611094</v>
          </cell>
          <cell r="D1278" t="str">
            <v>KUMPATLA SRIRAM</v>
          </cell>
        </row>
        <row r="1279">
          <cell r="C1279">
            <v>250371611095</v>
          </cell>
          <cell r="D1279" t="str">
            <v>KUNCHE NAGA MANIKANTA RAJU</v>
          </cell>
        </row>
        <row r="1280">
          <cell r="C1280">
            <v>250371611096</v>
          </cell>
          <cell r="D1280" t="str">
            <v>KUNCHE VARSHITHA RINI</v>
          </cell>
        </row>
        <row r="1281">
          <cell r="C1281">
            <v>250371611097</v>
          </cell>
          <cell r="D1281" t="str">
            <v>KUNOORI YASWANTH</v>
          </cell>
        </row>
        <row r="1282">
          <cell r="C1282">
            <v>250371611098</v>
          </cell>
          <cell r="D1282" t="str">
            <v>KUPPAMALLA PRAVALLIKA</v>
          </cell>
        </row>
        <row r="1283">
          <cell r="C1283">
            <v>250371611099</v>
          </cell>
          <cell r="D1283" t="str">
            <v>KURUMELLA GEETHIKA</v>
          </cell>
        </row>
        <row r="1284">
          <cell r="C1284">
            <v>250371611100</v>
          </cell>
          <cell r="D1284" t="str">
            <v>LAGISHETTI SRAVANTHI</v>
          </cell>
        </row>
        <row r="1285">
          <cell r="C1285">
            <v>250371611101</v>
          </cell>
          <cell r="D1285" t="str">
            <v xml:space="preserve">LANKE PAVANI SATYA </v>
          </cell>
        </row>
        <row r="1286">
          <cell r="C1286">
            <v>250371611102</v>
          </cell>
          <cell r="D1286" t="str">
            <v>LOKAREDDY SEETHA MAHA LAKSHMI</v>
          </cell>
        </row>
        <row r="1287">
          <cell r="C1287">
            <v>250371611103</v>
          </cell>
          <cell r="D1287" t="str">
            <v>MAINABATTULA JAI RAJU</v>
          </cell>
        </row>
        <row r="1288">
          <cell r="C1288">
            <v>250371611104</v>
          </cell>
          <cell r="D1288" t="str">
            <v>MALIPIREDDY ROHITH VEERA SANJAY</v>
          </cell>
        </row>
        <row r="1289">
          <cell r="C1289">
            <v>250371611105</v>
          </cell>
          <cell r="D1289" t="str">
            <v>MALLADI SAI SIRISHA</v>
          </cell>
        </row>
        <row r="1290">
          <cell r="C1290">
            <v>250371611106</v>
          </cell>
          <cell r="D1290" t="str">
            <v>MAMIDIPALLI DURGA VENKATA SAI KIRAN</v>
          </cell>
        </row>
        <row r="1291">
          <cell r="C1291">
            <v>250371611107</v>
          </cell>
          <cell r="D1291" t="str">
            <v>MEDAPATI VENNELA</v>
          </cell>
        </row>
        <row r="1292">
          <cell r="C1292">
            <v>250371611108</v>
          </cell>
          <cell r="D1292" t="str">
            <v>MEDAPUREDDY VYSHNAVI</v>
          </cell>
        </row>
        <row r="1293">
          <cell r="C1293">
            <v>250371611109</v>
          </cell>
          <cell r="D1293" t="str">
            <v>MEDIBOYINA BALA GANESH</v>
          </cell>
        </row>
        <row r="1294">
          <cell r="C1294">
            <v>250371611110</v>
          </cell>
          <cell r="D1294" t="str">
            <v>MEESALA VIDYA</v>
          </cell>
        </row>
        <row r="1295">
          <cell r="C1295">
            <v>250371611111</v>
          </cell>
          <cell r="D1295" t="str">
            <v>MOHAMMED AHAMED SHARIEF</v>
          </cell>
        </row>
        <row r="1296">
          <cell r="C1296">
            <v>250371611112</v>
          </cell>
          <cell r="D1296" t="str">
            <v>MOHAMMED SUFIYAN KHAN</v>
          </cell>
        </row>
        <row r="1297">
          <cell r="C1297">
            <v>250371611113</v>
          </cell>
          <cell r="D1297" t="str">
            <v>MOKIREDDI DEVENDRA</v>
          </cell>
        </row>
        <row r="1298">
          <cell r="C1298">
            <v>250371611114</v>
          </cell>
          <cell r="D1298" t="str">
            <v>MORTHA JEMIMAH</v>
          </cell>
        </row>
        <row r="1299">
          <cell r="C1299">
            <v>250371611115</v>
          </cell>
          <cell r="D1299" t="str">
            <v>MOTURI PADMAJA</v>
          </cell>
        </row>
        <row r="1300">
          <cell r="C1300">
            <v>250371611116</v>
          </cell>
          <cell r="D1300" t="str">
            <v>MUMMIDI CHANDRIKA</v>
          </cell>
        </row>
        <row r="1301">
          <cell r="C1301">
            <v>250371611117</v>
          </cell>
          <cell r="D1301" t="str">
            <v>MURALASETTY NIKHITHA LAKSHMI</v>
          </cell>
        </row>
        <row r="1302">
          <cell r="C1302">
            <v>250371611118</v>
          </cell>
          <cell r="D1302" t="str">
            <v>MUTYALA GOWTHAM</v>
          </cell>
        </row>
        <row r="1303">
          <cell r="C1303">
            <v>250371611119</v>
          </cell>
          <cell r="D1303" t="str">
            <v>NADAKUDITI ANJANI HARSHITA</v>
          </cell>
        </row>
        <row r="1304">
          <cell r="C1304">
            <v>250371611120</v>
          </cell>
          <cell r="D1304" t="str">
            <v>NAKKA DVARAKA SRI LAKSHMI SAI SWARUPINI</v>
          </cell>
        </row>
        <row r="1305">
          <cell r="C1305">
            <v>250371611121</v>
          </cell>
          <cell r="D1305" t="str">
            <v>NAKKA SUVARNA SUSHMA</v>
          </cell>
        </row>
        <row r="1306">
          <cell r="C1306">
            <v>250371611122</v>
          </cell>
          <cell r="D1306" t="str">
            <v>NALLA SUSHMA SAMYUKTHA</v>
          </cell>
        </row>
        <row r="1307">
          <cell r="C1307">
            <v>250371611123</v>
          </cell>
          <cell r="D1307" t="str">
            <v>NARAHARISETTI SATISH</v>
          </cell>
        </row>
        <row r="1308">
          <cell r="C1308">
            <v>250371611124</v>
          </cell>
          <cell r="D1308" t="str">
            <v>NARALA DINESH SURYA DURGA ADITYA</v>
          </cell>
        </row>
        <row r="1309">
          <cell r="C1309">
            <v>250371611125</v>
          </cell>
          <cell r="D1309" t="str">
            <v>NARALASETTI LAKSHMIDEVI</v>
          </cell>
        </row>
        <row r="1310">
          <cell r="C1310">
            <v>250371611126</v>
          </cell>
          <cell r="D1310" t="str">
            <v>NARALASETTI RAMADEVI</v>
          </cell>
        </row>
        <row r="1311">
          <cell r="C1311">
            <v>250371611127</v>
          </cell>
          <cell r="D1311" t="str">
            <v>NEELAPALA SIRI MAHALAKSHMI</v>
          </cell>
        </row>
        <row r="1312">
          <cell r="C1312">
            <v>250371611128</v>
          </cell>
          <cell r="D1312" t="str">
            <v>NEELAPALLI KALYAN RAJ</v>
          </cell>
        </row>
        <row r="1313">
          <cell r="C1313">
            <v>250371611129</v>
          </cell>
          <cell r="D1313" t="str">
            <v>NEMALA SANTOSH</v>
          </cell>
        </row>
        <row r="1314">
          <cell r="C1314">
            <v>250371611130</v>
          </cell>
          <cell r="D1314" t="str">
            <v>NIMMAKAYALA NEELAKANTA</v>
          </cell>
        </row>
        <row r="1315">
          <cell r="C1315">
            <v>250371611131</v>
          </cell>
          <cell r="D1315" t="str">
            <v>NUKALA CHARANI SREE</v>
          </cell>
        </row>
        <row r="1316">
          <cell r="C1316">
            <v>250371611132</v>
          </cell>
          <cell r="D1316" t="str">
            <v>NUKATATTU PREMANANDHAM</v>
          </cell>
        </row>
        <row r="1317">
          <cell r="C1317">
            <v>250371611133</v>
          </cell>
          <cell r="D1317" t="str">
            <v>OBILISETTY VINAY PRASANTH</v>
          </cell>
        </row>
        <row r="1318">
          <cell r="C1318">
            <v>250371611134</v>
          </cell>
          <cell r="D1318" t="str">
            <v>ODIBOINA VEERA NOOKA RAJU</v>
          </cell>
        </row>
        <row r="1319">
          <cell r="C1319">
            <v>250371611135</v>
          </cell>
          <cell r="D1319" t="str">
            <v>OSIPALLI MANIKANTA</v>
          </cell>
        </row>
        <row r="1320">
          <cell r="C1320">
            <v>250371611136</v>
          </cell>
          <cell r="D1320" t="str">
            <v>PADALA LAKSHMI VEERA VENKATA DURGA</v>
          </cell>
        </row>
        <row r="1321">
          <cell r="C1321">
            <v>250371611137</v>
          </cell>
          <cell r="D1321" t="str">
            <v>PAIDIMALLA DHANUSH BABU</v>
          </cell>
        </row>
        <row r="1322">
          <cell r="C1322">
            <v>250371611138</v>
          </cell>
          <cell r="D1322" t="str">
            <v>PALAKURTHI SAI NAGA SIRINYA</v>
          </cell>
        </row>
        <row r="1323">
          <cell r="C1323">
            <v>250371611139</v>
          </cell>
          <cell r="D1323" t="str">
            <v>PALEPU GOWTHAM SARAN</v>
          </cell>
        </row>
        <row r="1324">
          <cell r="C1324">
            <v>250371611140</v>
          </cell>
          <cell r="D1324" t="str">
            <v>PALEPU SANTHOSH KUMAR</v>
          </cell>
        </row>
        <row r="1325">
          <cell r="C1325">
            <v>250371611141</v>
          </cell>
          <cell r="D1325" t="str">
            <v>PAMU SRI BHAGYA LAKSHMI</v>
          </cell>
        </row>
        <row r="1326">
          <cell r="C1326">
            <v>250371611142</v>
          </cell>
          <cell r="D1326" t="str">
            <v>PANCHADARA SATYA KESAVA</v>
          </cell>
        </row>
        <row r="1327">
          <cell r="C1327">
            <v>250371611143</v>
          </cell>
          <cell r="D1327" t="str">
            <v>PANDRANKI SWARUPA</v>
          </cell>
        </row>
        <row r="1328">
          <cell r="C1328">
            <v>250371611144</v>
          </cell>
          <cell r="D1328" t="str">
            <v>PAPPALA SANTOSH KUMAR</v>
          </cell>
        </row>
        <row r="1329">
          <cell r="C1329">
            <v>250371611145</v>
          </cell>
          <cell r="D1329" t="str">
            <v>PAPPU NEEHARIKA</v>
          </cell>
        </row>
        <row r="1330">
          <cell r="C1330">
            <v>250371611146</v>
          </cell>
          <cell r="D1330" t="str">
            <v>PAPPU SHALINI MADHU SRI</v>
          </cell>
        </row>
        <row r="1331">
          <cell r="C1331">
            <v>250371611147</v>
          </cell>
          <cell r="D1331" t="str">
            <v xml:space="preserve">PASALAPUDI NANDINI </v>
          </cell>
        </row>
        <row r="1332">
          <cell r="C1332">
            <v>250371611148</v>
          </cell>
          <cell r="D1332" t="str">
            <v>PASINIBILLI GANESH</v>
          </cell>
        </row>
        <row r="1333">
          <cell r="C1333">
            <v>250371611149</v>
          </cell>
          <cell r="D1333" t="str">
            <v>PEACE MUKWENA</v>
          </cell>
        </row>
        <row r="1334">
          <cell r="C1334">
            <v>250371611150</v>
          </cell>
          <cell r="D1334" t="str">
            <v>PECHETTI VARA PRASAD</v>
          </cell>
        </row>
        <row r="1335">
          <cell r="C1335">
            <v>250371611151</v>
          </cell>
          <cell r="D1335" t="str">
            <v>PENDYALA ADITYA</v>
          </cell>
        </row>
        <row r="1336">
          <cell r="C1336">
            <v>250371611152</v>
          </cell>
          <cell r="D1336" t="str">
            <v>PENKE SAI CHARAN</v>
          </cell>
        </row>
        <row r="1337">
          <cell r="C1337">
            <v>250371611153</v>
          </cell>
          <cell r="D1337" t="str">
            <v>PENUPOTHULA LOCHANA</v>
          </cell>
        </row>
        <row r="1338">
          <cell r="C1338">
            <v>250371611154</v>
          </cell>
          <cell r="D1338" t="str">
            <v>PILLI LALITHA MAHALAKSHMI</v>
          </cell>
        </row>
        <row r="1339">
          <cell r="C1339">
            <v>250371611155</v>
          </cell>
          <cell r="D1339" t="str">
            <v>PILLI MOHANA SIVA DURGA</v>
          </cell>
        </row>
        <row r="1340">
          <cell r="C1340">
            <v>250371611156</v>
          </cell>
          <cell r="D1340" t="str">
            <v>PITHANI BALA VEERA RAGHAVENDRA</v>
          </cell>
        </row>
        <row r="1341">
          <cell r="C1341">
            <v>250371611157</v>
          </cell>
          <cell r="D1341" t="str">
            <v xml:space="preserve">POLAVARAPU LOVA VAMSI </v>
          </cell>
        </row>
        <row r="1342">
          <cell r="C1342">
            <v>250371611158</v>
          </cell>
          <cell r="D1342" t="str">
            <v>POLAVARAPU SYAM PRASAD</v>
          </cell>
        </row>
        <row r="1343">
          <cell r="C1343">
            <v>250371611159</v>
          </cell>
          <cell r="D1343" t="str">
            <v>PULLA JAYA SRI TULASI</v>
          </cell>
        </row>
        <row r="1344">
          <cell r="C1344">
            <v>250371611160</v>
          </cell>
          <cell r="D1344" t="str">
            <v>PUNNAM JOSHNA SESHA SAI</v>
          </cell>
        </row>
        <row r="1345">
          <cell r="C1345">
            <v>250371611161</v>
          </cell>
          <cell r="D1345" t="str">
            <v>RAMANATHI CHINNI</v>
          </cell>
        </row>
        <row r="1346">
          <cell r="C1346">
            <v>250371611162</v>
          </cell>
          <cell r="D1346" t="str">
            <v>RAMU BHUVANESWARI</v>
          </cell>
        </row>
        <row r="1347">
          <cell r="C1347">
            <v>250371611163</v>
          </cell>
          <cell r="D1347" t="str">
            <v>RAO SREE AMRUTHA</v>
          </cell>
        </row>
        <row r="1348">
          <cell r="C1348">
            <v>250371611164</v>
          </cell>
          <cell r="D1348" t="str">
            <v>RAYAPATI SIVAJI</v>
          </cell>
        </row>
        <row r="1349">
          <cell r="C1349">
            <v>250371611165</v>
          </cell>
          <cell r="D1349" t="str">
            <v>RAYAPUREDDY NAGASAI</v>
          </cell>
        </row>
        <row r="1350">
          <cell r="C1350">
            <v>250371611166</v>
          </cell>
          <cell r="D1350" t="str">
            <v>RAYUDU BHAVANI PRASAD</v>
          </cell>
        </row>
        <row r="1351">
          <cell r="C1351">
            <v>250371611167</v>
          </cell>
          <cell r="D1351" t="str">
            <v>RAYUDU VEERA PRATAP</v>
          </cell>
        </row>
        <row r="1352">
          <cell r="C1352">
            <v>250371611168</v>
          </cell>
          <cell r="D1352" t="str">
            <v>REDDY VENKATESWARLU</v>
          </cell>
        </row>
        <row r="1353">
          <cell r="C1353">
            <v>250371611169</v>
          </cell>
          <cell r="D1353" t="str">
            <v>REKHA SRIHARSHITA</v>
          </cell>
        </row>
        <row r="1354">
          <cell r="C1354">
            <v>250371611170</v>
          </cell>
          <cell r="D1354" t="str">
            <v>ROTTA SAI ESWAR</v>
          </cell>
        </row>
        <row r="1355">
          <cell r="C1355">
            <v>250371611171</v>
          </cell>
          <cell r="D1355" t="str">
            <v>SAGIRAJU AISWARYA</v>
          </cell>
        </row>
        <row r="1356">
          <cell r="C1356">
            <v>250371611172</v>
          </cell>
          <cell r="D1356" t="str">
            <v>SANGADI SAI</v>
          </cell>
        </row>
        <row r="1357">
          <cell r="C1357">
            <v>250371611173</v>
          </cell>
          <cell r="D1357" t="str">
            <v>SANGEETA SRI VEDHA VINDHYA VIKASINI</v>
          </cell>
        </row>
        <row r="1358">
          <cell r="C1358">
            <v>250371611174</v>
          </cell>
          <cell r="D1358" t="str">
            <v>SATTI KRISHNA NAGA DURGA TANMAYI</v>
          </cell>
        </row>
        <row r="1359">
          <cell r="C1359">
            <v>250371611175</v>
          </cell>
          <cell r="D1359" t="str">
            <v>SEELA HARSHITHA</v>
          </cell>
        </row>
        <row r="1360">
          <cell r="C1360">
            <v>250371611176</v>
          </cell>
          <cell r="D1360" t="str">
            <v>SEERAM EEPSITA</v>
          </cell>
        </row>
        <row r="1361">
          <cell r="C1361">
            <v>250371611177</v>
          </cell>
          <cell r="D1361" t="str">
            <v>SEERAMREDDY DEEPAK SIDDU MAHESH</v>
          </cell>
        </row>
        <row r="1362">
          <cell r="C1362">
            <v>250371611178</v>
          </cell>
          <cell r="D1362" t="str">
            <v>SHAIK HAMAD LUKMAN</v>
          </cell>
        </row>
        <row r="1363">
          <cell r="C1363">
            <v>250371611179</v>
          </cell>
          <cell r="D1363" t="str">
            <v>SHEIK RUHI FATHIMA</v>
          </cell>
        </row>
        <row r="1364">
          <cell r="C1364">
            <v>250371611180</v>
          </cell>
          <cell r="D1364" t="str">
            <v>SHEIK SADHIK</v>
          </cell>
        </row>
        <row r="1365">
          <cell r="C1365">
            <v>250371611181</v>
          </cell>
          <cell r="D1365" t="str">
            <v>SHEK AFREEN</v>
          </cell>
        </row>
        <row r="1366">
          <cell r="C1366">
            <v>250371611182</v>
          </cell>
          <cell r="D1366" t="str">
            <v>SHESATTE PRAMEELA</v>
          </cell>
        </row>
        <row r="1367">
          <cell r="C1367">
            <v>250371611183</v>
          </cell>
          <cell r="D1367" t="str">
            <v>SIDDANTAPU MOUVYA SRI TEJA</v>
          </cell>
        </row>
        <row r="1368">
          <cell r="C1368">
            <v>250371611184</v>
          </cell>
          <cell r="D1368" t="str">
            <v>SILLA DEEPIKA</v>
          </cell>
        </row>
        <row r="1369">
          <cell r="C1369">
            <v>250371611185</v>
          </cell>
          <cell r="D1369" t="str">
            <v>SIMMA VAIBHAVI</v>
          </cell>
        </row>
        <row r="1370">
          <cell r="C1370">
            <v>250371611186</v>
          </cell>
          <cell r="D1370" t="str">
            <v>SINGAMSETTI SRI JAYA RATNA VYSHNAVI</v>
          </cell>
        </row>
        <row r="1371">
          <cell r="C1371">
            <v>250371611187</v>
          </cell>
          <cell r="D1371" t="str">
            <v>SONTANAM NAGA ISHWARYA</v>
          </cell>
        </row>
        <row r="1372">
          <cell r="C1372">
            <v>250371611188</v>
          </cell>
          <cell r="D1372" t="str">
            <v>SUNKARA BHAVYA SRI</v>
          </cell>
        </row>
        <row r="1373">
          <cell r="C1373">
            <v>250371611189</v>
          </cell>
          <cell r="D1373" t="str">
            <v>SUNKARA SUKEERTHI</v>
          </cell>
        </row>
        <row r="1374">
          <cell r="C1374">
            <v>250371611190</v>
          </cell>
          <cell r="D1374" t="str">
            <v>TADI VARSHITHA</v>
          </cell>
        </row>
        <row r="1375">
          <cell r="C1375">
            <v>250371611191</v>
          </cell>
          <cell r="D1375" t="str">
            <v>TATIPARTHI SWAROOPA</v>
          </cell>
        </row>
        <row r="1376">
          <cell r="C1376">
            <v>250371611192</v>
          </cell>
          <cell r="D1376" t="str">
            <v>THATIPARTHI VIJAY RAJESH</v>
          </cell>
        </row>
        <row r="1377">
          <cell r="C1377">
            <v>250371611193</v>
          </cell>
          <cell r="D1377" t="str">
            <v>THOTA SAIBABU</v>
          </cell>
        </row>
        <row r="1378">
          <cell r="C1378">
            <v>250371611194</v>
          </cell>
          <cell r="D1378" t="str">
            <v>TIRUMALASETTI RAJA SRI</v>
          </cell>
        </row>
        <row r="1379">
          <cell r="C1379">
            <v>250371611195</v>
          </cell>
          <cell r="D1379" t="str">
            <v>TIRUMALASETTI VINAY</v>
          </cell>
        </row>
        <row r="1380">
          <cell r="C1380">
            <v>250371611196</v>
          </cell>
          <cell r="D1380" t="str">
            <v>TUMULA SIDHARTHA</v>
          </cell>
        </row>
        <row r="1381">
          <cell r="C1381">
            <v>250371611197</v>
          </cell>
          <cell r="D1381" t="str">
            <v>UPPU DURGA PRASAD</v>
          </cell>
        </row>
        <row r="1382">
          <cell r="C1382">
            <v>250371611198</v>
          </cell>
          <cell r="D1382" t="str">
            <v>VABBALAREDDI POOJITHA</v>
          </cell>
        </row>
        <row r="1383">
          <cell r="C1383">
            <v>250371611199</v>
          </cell>
          <cell r="D1383" t="str">
            <v>VADAKATTU SANJANA</v>
          </cell>
        </row>
        <row r="1384">
          <cell r="C1384">
            <v>250371611200</v>
          </cell>
          <cell r="D1384" t="str">
            <v>VADAPARTHI LOKESH BABU</v>
          </cell>
        </row>
        <row r="1385">
          <cell r="C1385">
            <v>250371611201</v>
          </cell>
          <cell r="D1385" t="str">
            <v>VAKAPALLI SARANYA</v>
          </cell>
        </row>
        <row r="1386">
          <cell r="C1386">
            <v>250371611202</v>
          </cell>
          <cell r="D1386" t="str">
            <v>VANUM JASWANTH SATYA</v>
          </cell>
        </row>
        <row r="1387">
          <cell r="C1387">
            <v>250371611203</v>
          </cell>
          <cell r="D1387" t="str">
            <v>VASARLA SATYA SAI</v>
          </cell>
        </row>
        <row r="1388">
          <cell r="C1388">
            <v>250371611204</v>
          </cell>
          <cell r="D1388" t="str">
            <v>VASIREDDY VEERA PRAVEENA</v>
          </cell>
        </row>
        <row r="1389">
          <cell r="C1389">
            <v>250371611205</v>
          </cell>
          <cell r="D1389" t="str">
            <v>VASIREDDY YAMINI SURYA TRIVENI</v>
          </cell>
        </row>
        <row r="1390">
          <cell r="C1390">
            <v>250371611206</v>
          </cell>
          <cell r="D1390" t="str">
            <v>VEERAMREDDY NAGA SATYANARAYANA</v>
          </cell>
        </row>
        <row r="1391">
          <cell r="C1391">
            <v>250371611207</v>
          </cell>
          <cell r="D1391" t="str">
            <v>VELLA ARUN KUMAR</v>
          </cell>
        </row>
        <row r="1392">
          <cell r="C1392">
            <v>250371611208</v>
          </cell>
          <cell r="D1392" t="str">
            <v>VEMPATI CHAKRA DURGA MAHESH</v>
          </cell>
        </row>
        <row r="1393">
          <cell r="C1393">
            <v>250371611209</v>
          </cell>
          <cell r="D1393" t="str">
            <v>VIPPARTHI AVINASH</v>
          </cell>
        </row>
        <row r="1394">
          <cell r="C1394">
            <v>250371611210</v>
          </cell>
          <cell r="D1394" t="str">
            <v>YALLA SANANDH</v>
          </cell>
        </row>
        <row r="1395">
          <cell r="C1395">
            <v>250371611211</v>
          </cell>
          <cell r="D1395" t="str">
            <v>YANDAMURI VASUDEV</v>
          </cell>
        </row>
        <row r="1396">
          <cell r="C1396">
            <v>250371611212</v>
          </cell>
          <cell r="D1396" t="str">
            <v>YARAKAM ABHI SATVIK REDDY</v>
          </cell>
        </row>
        <row r="1397">
          <cell r="C1397">
            <v>250371611213</v>
          </cell>
          <cell r="D1397" t="str">
            <v>YARRABATTULA SARANYA LAKSHMI SRI</v>
          </cell>
        </row>
        <row r="1398">
          <cell r="C1398">
            <v>250371611214</v>
          </cell>
          <cell r="D1398" t="str">
            <v>YARRAM RAJA RAVINDRA</v>
          </cell>
        </row>
        <row r="1399">
          <cell r="C1399">
            <v>250371611215</v>
          </cell>
          <cell r="D1399" t="str">
            <v>YEDLA KUMARI</v>
          </cell>
        </row>
        <row r="1400">
          <cell r="C1400">
            <v>250371611216</v>
          </cell>
          <cell r="D1400" t="str">
            <v>YELISETTI LAKSHMI PRIYANKA</v>
          </cell>
        </row>
        <row r="1401">
          <cell r="C1401">
            <v>250371611217</v>
          </cell>
          <cell r="D1401" t="str">
            <v>YELUBANDI SRI KALYANI</v>
          </cell>
        </row>
        <row r="1402">
          <cell r="C1402">
            <v>250371731001</v>
          </cell>
          <cell r="D1402" t="str">
            <v>AMALADASU HIMA PRAKASHINI</v>
          </cell>
        </row>
        <row r="1403">
          <cell r="C1403">
            <v>250371731002</v>
          </cell>
          <cell r="D1403" t="str">
            <v xml:space="preserve">ANISETTI VENKATA SWATHI </v>
          </cell>
        </row>
        <row r="1404">
          <cell r="C1404">
            <v>250371731003</v>
          </cell>
          <cell r="D1404" t="str">
            <v xml:space="preserve">ARJUNAMAHANTHI DURGA SWAMY </v>
          </cell>
        </row>
        <row r="1405">
          <cell r="C1405">
            <v>250371731004</v>
          </cell>
          <cell r="D1405" t="str">
            <v xml:space="preserve">BODDU MANOJ KUMAR </v>
          </cell>
        </row>
        <row r="1406">
          <cell r="C1406">
            <v>250371731005</v>
          </cell>
          <cell r="D1406" t="str">
            <v xml:space="preserve">CHAKKA NIKHITANJANA </v>
          </cell>
        </row>
        <row r="1407">
          <cell r="C1407">
            <v>250371731006</v>
          </cell>
          <cell r="D1407" t="str">
            <v xml:space="preserve">CHINTAPALLI SAI SHANKAR </v>
          </cell>
        </row>
        <row r="1408">
          <cell r="C1408">
            <v>250371731007</v>
          </cell>
          <cell r="D1408" t="str">
            <v xml:space="preserve">DADALA JAYASRI SUPRIYA </v>
          </cell>
        </row>
        <row r="1409">
          <cell r="C1409">
            <v>250371731008</v>
          </cell>
          <cell r="D1409" t="str">
            <v xml:space="preserve">DEYYALA RAJESH </v>
          </cell>
        </row>
        <row r="1410">
          <cell r="C1410">
            <v>250371731009</v>
          </cell>
          <cell r="D1410" t="str">
            <v xml:space="preserve">DUVVADA SANJANA </v>
          </cell>
        </row>
        <row r="1411">
          <cell r="C1411">
            <v>250371731010</v>
          </cell>
          <cell r="D1411" t="str">
            <v xml:space="preserve">DWARAMPUDI VIDYA SATWIKA </v>
          </cell>
        </row>
        <row r="1412">
          <cell r="C1412">
            <v>250371731011</v>
          </cell>
          <cell r="D1412" t="str">
            <v xml:space="preserve">GANDI DURGA DHANUSH </v>
          </cell>
        </row>
        <row r="1413">
          <cell r="C1413">
            <v>250371731012</v>
          </cell>
          <cell r="D1413" t="str">
            <v xml:space="preserve">GANDI GANGANANDINI </v>
          </cell>
        </row>
        <row r="1414">
          <cell r="C1414">
            <v>250371731013</v>
          </cell>
          <cell r="D1414" t="str">
            <v xml:space="preserve">GORLE NAGA TANU SREE </v>
          </cell>
        </row>
        <row r="1415">
          <cell r="C1415">
            <v>250371731014</v>
          </cell>
          <cell r="D1415" t="str">
            <v xml:space="preserve">GORLU DEEPIKA </v>
          </cell>
        </row>
        <row r="1416">
          <cell r="C1416">
            <v>250371731015</v>
          </cell>
          <cell r="D1416" t="str">
            <v xml:space="preserve">GULLINKALA BALA SUBRAHMANYAM SWAMY </v>
          </cell>
        </row>
        <row r="1417">
          <cell r="C1417">
            <v>250371731016</v>
          </cell>
          <cell r="D1417" t="str">
            <v xml:space="preserve">JERRI SANTHOSH </v>
          </cell>
        </row>
        <row r="1418">
          <cell r="C1418">
            <v>250371731017</v>
          </cell>
          <cell r="D1418" t="str">
            <v xml:space="preserve">KADALI SATYA SRI CHARAN </v>
          </cell>
        </row>
        <row r="1419">
          <cell r="C1419">
            <v>250371731018</v>
          </cell>
          <cell r="D1419" t="str">
            <v xml:space="preserve">KAJULURI RAMYA PRIYA </v>
          </cell>
        </row>
        <row r="1420">
          <cell r="C1420">
            <v>250371731019</v>
          </cell>
          <cell r="D1420" t="str">
            <v xml:space="preserve">KOKKERAMETLA VENKATESH </v>
          </cell>
        </row>
        <row r="1421">
          <cell r="C1421">
            <v>250371731020</v>
          </cell>
          <cell r="D1421" t="str">
            <v xml:space="preserve">KOLLA REDDY HARIKA </v>
          </cell>
        </row>
        <row r="1422">
          <cell r="C1422">
            <v>250371731021</v>
          </cell>
          <cell r="D1422" t="str">
            <v xml:space="preserve">KOTI SRI LALITHA </v>
          </cell>
        </row>
        <row r="1423">
          <cell r="C1423">
            <v>250371731022</v>
          </cell>
          <cell r="D1423" t="str">
            <v xml:space="preserve">KOTTAGALLA NAVYA SREE KANTHI </v>
          </cell>
        </row>
        <row r="1424">
          <cell r="C1424">
            <v>250371731023</v>
          </cell>
          <cell r="D1424" t="str">
            <v xml:space="preserve">KOVVURI SRI KRISHNA CHAITANYA REDDY </v>
          </cell>
        </row>
        <row r="1425">
          <cell r="C1425">
            <v>250371731024</v>
          </cell>
          <cell r="D1425" t="str">
            <v xml:space="preserve">MADHABATTULA KEERTHI PRASANNA </v>
          </cell>
        </row>
        <row r="1426">
          <cell r="C1426">
            <v>250371731025</v>
          </cell>
          <cell r="D1426" t="str">
            <v xml:space="preserve">MADUGULA JASHNAVI </v>
          </cell>
        </row>
        <row r="1427">
          <cell r="C1427">
            <v>250371731026</v>
          </cell>
          <cell r="D1427" t="str">
            <v xml:space="preserve">MANDAPATI RAVITEJA </v>
          </cell>
        </row>
        <row r="1428">
          <cell r="C1428">
            <v>250371731027</v>
          </cell>
          <cell r="D1428" t="str">
            <v xml:space="preserve">MUPPIDI MAHESWARA REDDY </v>
          </cell>
        </row>
        <row r="1429">
          <cell r="C1429">
            <v>250371731028</v>
          </cell>
          <cell r="D1429" t="str">
            <v>MUTHU ANUSHA</v>
          </cell>
        </row>
        <row r="1430">
          <cell r="C1430">
            <v>250371731029</v>
          </cell>
          <cell r="D1430" t="str">
            <v xml:space="preserve">NAKKA GANGA NAGA UMA MAHESWARA RAO </v>
          </cell>
        </row>
        <row r="1431">
          <cell r="C1431">
            <v>250371731030</v>
          </cell>
          <cell r="D1431" t="str">
            <v xml:space="preserve">NAKKA SHANMUKA VEERA RAGHU VAMSI </v>
          </cell>
        </row>
        <row r="1432">
          <cell r="C1432">
            <v>250371731031</v>
          </cell>
          <cell r="D1432" t="str">
            <v xml:space="preserve">NEELAM LALITHA </v>
          </cell>
        </row>
        <row r="1433">
          <cell r="C1433">
            <v>250371731032</v>
          </cell>
          <cell r="D1433" t="str">
            <v xml:space="preserve">PALEPU NIKITHA </v>
          </cell>
        </row>
        <row r="1434">
          <cell r="C1434">
            <v>250371731033</v>
          </cell>
          <cell r="D1434" t="str">
            <v xml:space="preserve">PASUPULETI BABY SRAVANYA </v>
          </cell>
        </row>
        <row r="1435">
          <cell r="C1435">
            <v>250371731034</v>
          </cell>
          <cell r="D1435" t="str">
            <v xml:space="preserve">PENUMALLU RAMA NIHARIKA </v>
          </cell>
        </row>
        <row r="1436">
          <cell r="C1436">
            <v>250371731035</v>
          </cell>
          <cell r="D1436" t="str">
            <v>PUJYAM NAGA SRI DRUTHI</v>
          </cell>
        </row>
        <row r="1437">
          <cell r="C1437">
            <v>250371731036</v>
          </cell>
          <cell r="D1437" t="str">
            <v xml:space="preserve">PYNA MAHALAKSHMI </v>
          </cell>
        </row>
        <row r="1438">
          <cell r="C1438">
            <v>250371731037</v>
          </cell>
          <cell r="D1438" t="str">
            <v>RAMISETTY JASMINI</v>
          </cell>
        </row>
        <row r="1439">
          <cell r="C1439">
            <v>250371731038</v>
          </cell>
          <cell r="D1439" t="str">
            <v xml:space="preserve">RAYUDU PAVAN KUMAR </v>
          </cell>
        </row>
        <row r="1440">
          <cell r="C1440">
            <v>250371731039</v>
          </cell>
          <cell r="D1440" t="str">
            <v xml:space="preserve">RAYUDU RAMYASRI </v>
          </cell>
        </row>
        <row r="1441">
          <cell r="C1441">
            <v>250371731040</v>
          </cell>
          <cell r="D1441" t="str">
            <v xml:space="preserve">REVURI NAGA SURYA MANOHAR </v>
          </cell>
        </row>
        <row r="1442">
          <cell r="C1442">
            <v>250371731041</v>
          </cell>
          <cell r="D1442" t="str">
            <v xml:space="preserve">SALAPU SIDDHI VENKATA SAI KARTHIKEYA </v>
          </cell>
        </row>
        <row r="1443">
          <cell r="C1443">
            <v>250371731042</v>
          </cell>
          <cell r="D1443" t="str">
            <v xml:space="preserve">SANIVARAPU RAMA ESWARA PRASAD </v>
          </cell>
        </row>
        <row r="1444">
          <cell r="C1444">
            <v>250371731043</v>
          </cell>
          <cell r="D1444" t="str">
            <v xml:space="preserve">SATHI MEGHANA REDDY </v>
          </cell>
        </row>
        <row r="1445">
          <cell r="C1445">
            <v>250371731044</v>
          </cell>
          <cell r="D1445" t="str">
            <v>SATHI SRI SHANMUKHA SAI SRINIVASA REDDY</v>
          </cell>
        </row>
        <row r="1446">
          <cell r="C1446">
            <v>250371731045</v>
          </cell>
          <cell r="D1446" t="str">
            <v xml:space="preserve">SHAIK ABDUL HANEESH </v>
          </cell>
        </row>
        <row r="1447">
          <cell r="C1447">
            <v>250371731046</v>
          </cell>
          <cell r="D1447" t="str">
            <v xml:space="preserve">SHAIK AHMED RAZA </v>
          </cell>
        </row>
        <row r="1448">
          <cell r="C1448">
            <v>250371731047</v>
          </cell>
          <cell r="D1448" t="str">
            <v xml:space="preserve">SHAIK FARHANA </v>
          </cell>
        </row>
        <row r="1449">
          <cell r="C1449">
            <v>250371731048</v>
          </cell>
          <cell r="D1449" t="str">
            <v xml:space="preserve">SINGANA KARUNA VEERA VENKATESH </v>
          </cell>
        </row>
        <row r="1450">
          <cell r="C1450">
            <v>250371731049</v>
          </cell>
          <cell r="D1450" t="str">
            <v xml:space="preserve">SREEPADAM MANJU PRINCY </v>
          </cell>
        </row>
        <row r="1451">
          <cell r="C1451">
            <v>250371731050</v>
          </cell>
          <cell r="D1451" t="str">
            <v xml:space="preserve">SWARNA SAILAKSHMI </v>
          </cell>
        </row>
        <row r="1452">
          <cell r="C1452">
            <v>250371731051</v>
          </cell>
          <cell r="D1452" t="str">
            <v xml:space="preserve">TUMMALAPALLI JASWANTH </v>
          </cell>
        </row>
        <row r="1453">
          <cell r="C1453">
            <v>250371731052</v>
          </cell>
          <cell r="D1453" t="str">
            <v xml:space="preserve">VASMSETTI VENKATA PRASAD </v>
          </cell>
        </row>
        <row r="1454">
          <cell r="C1454">
            <v>250371731053</v>
          </cell>
          <cell r="D1454" t="str">
            <v xml:space="preserve">VISSAKOTI BALU </v>
          </cell>
        </row>
        <row r="1455">
          <cell r="C1455">
            <v>250371731054</v>
          </cell>
          <cell r="D1455" t="str">
            <v>YARRAMNEEDI NAVYA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44"/>
  <sheetViews>
    <sheetView workbookViewId="0">
      <selection activeCell="L39" sqref="L39"/>
    </sheetView>
  </sheetViews>
  <sheetFormatPr defaultRowHeight="15"/>
  <cols>
    <col min="1" max="1" width="10.28515625" style="6" bestFit="1" customWidth="1"/>
    <col min="2" max="3" width="18.5703125" style="6" bestFit="1" customWidth="1"/>
    <col min="4" max="4" width="14" style="6" bestFit="1" customWidth="1"/>
    <col min="5" max="5" width="34.85546875" style="6" bestFit="1" customWidth="1"/>
    <col min="6" max="6" width="12.5703125" style="32" bestFit="1" customWidth="1"/>
    <col min="7" max="7" width="14" style="32" bestFit="1" customWidth="1"/>
    <col min="8" max="8" width="16.85546875" style="6" bestFit="1" customWidth="1"/>
    <col min="9" max="9" width="14" style="6" bestFit="1" customWidth="1"/>
    <col min="10" max="10" width="14.85546875" style="6" bestFit="1" customWidth="1"/>
    <col min="11" max="11" width="22.7109375" style="6" bestFit="1" customWidth="1"/>
    <col min="12" max="12" width="21.5703125" style="6" bestFit="1" customWidth="1"/>
    <col min="13" max="13" width="26.7109375" style="6" bestFit="1" customWidth="1"/>
    <col min="14" max="14" width="28.140625" style="6" bestFit="1" customWidth="1"/>
    <col min="15" max="15" width="14.140625" style="6" bestFit="1" customWidth="1"/>
    <col min="16" max="16" width="11.7109375" style="7" bestFit="1" customWidth="1"/>
    <col min="17" max="17" width="9.140625" style="6"/>
    <col min="18" max="18" width="6" style="6" bestFit="1" customWidth="1"/>
    <col min="19" max="19" width="3.28515625" style="6" bestFit="1" customWidth="1"/>
    <col min="20" max="16384" width="9.140625" style="6"/>
  </cols>
  <sheetData>
    <row r="1" spans="1:19" s="8" customFormat="1" ht="94.5" customHeight="1">
      <c r="A1" s="53" t="s">
        <v>1</v>
      </c>
      <c r="B1" s="53" t="s">
        <v>16</v>
      </c>
      <c r="C1" s="53" t="s">
        <v>12</v>
      </c>
      <c r="D1" s="40" t="s">
        <v>1520</v>
      </c>
      <c r="E1" s="53" t="s">
        <v>13</v>
      </c>
      <c r="F1" s="53" t="s">
        <v>14</v>
      </c>
      <c r="G1" s="53" t="s">
        <v>0</v>
      </c>
      <c r="H1" s="53" t="s">
        <v>31</v>
      </c>
      <c r="I1" s="1" t="s">
        <v>78</v>
      </c>
      <c r="J1" s="1" t="s">
        <v>79</v>
      </c>
      <c r="K1" s="1" t="s">
        <v>80</v>
      </c>
      <c r="L1" s="1" t="s">
        <v>303</v>
      </c>
      <c r="M1" s="1" t="s">
        <v>304</v>
      </c>
      <c r="N1" s="1" t="s">
        <v>305</v>
      </c>
      <c r="O1" s="1" t="s">
        <v>10</v>
      </c>
      <c r="P1" s="55" t="s">
        <v>9</v>
      </c>
    </row>
    <row r="2" spans="1:19" s="8" customFormat="1" ht="34.5" customHeight="1">
      <c r="A2" s="54"/>
      <c r="B2" s="54"/>
      <c r="C2" s="54"/>
      <c r="D2" s="41"/>
      <c r="E2" s="54"/>
      <c r="F2" s="54"/>
      <c r="G2" s="54"/>
      <c r="H2" s="54"/>
      <c r="I2" s="10">
        <v>3</v>
      </c>
      <c r="J2" s="10">
        <v>3</v>
      </c>
      <c r="K2" s="10">
        <v>4</v>
      </c>
      <c r="L2" s="10">
        <v>4</v>
      </c>
      <c r="M2" s="10">
        <v>3</v>
      </c>
      <c r="N2" s="10">
        <v>1</v>
      </c>
      <c r="O2" s="10">
        <f>SUM(I2:N2)</f>
        <v>18</v>
      </c>
      <c r="P2" s="56"/>
    </row>
    <row r="3" spans="1:19" s="5" customFormat="1" ht="42" customHeight="1">
      <c r="A3" s="2">
        <v>1</v>
      </c>
      <c r="B3" s="12">
        <v>2544640526</v>
      </c>
      <c r="C3" s="12">
        <v>250371505002</v>
      </c>
      <c r="D3" s="17">
        <v>250001</v>
      </c>
      <c r="E3" s="13" t="s">
        <v>261</v>
      </c>
      <c r="F3" s="12" t="s">
        <v>23</v>
      </c>
      <c r="G3" s="19" t="s">
        <v>15</v>
      </c>
      <c r="H3" s="19" t="s">
        <v>34</v>
      </c>
      <c r="I3" s="16" t="s">
        <v>3</v>
      </c>
      <c r="J3" s="16" t="s">
        <v>8</v>
      </c>
      <c r="K3" s="16" t="s">
        <v>2</v>
      </c>
      <c r="L3" s="16" t="s">
        <v>2</v>
      </c>
      <c r="M3" s="16" t="s">
        <v>2</v>
      </c>
      <c r="N3" s="16" t="s">
        <v>8</v>
      </c>
      <c r="O3" s="11" t="s">
        <v>17</v>
      </c>
      <c r="P3" s="4">
        <v>9.0555555555555554</v>
      </c>
      <c r="R3" s="5" t="s">
        <v>8</v>
      </c>
      <c r="S3" s="5">
        <v>10</v>
      </c>
    </row>
    <row r="4" spans="1:19" s="5" customFormat="1" ht="42" customHeight="1">
      <c r="A4" s="2">
        <v>2</v>
      </c>
      <c r="B4" s="12">
        <v>2544640068</v>
      </c>
      <c r="C4" s="12">
        <v>250371505004</v>
      </c>
      <c r="D4" s="17">
        <f>D3+1</f>
        <v>250002</v>
      </c>
      <c r="E4" s="13" t="s">
        <v>262</v>
      </c>
      <c r="F4" s="12" t="s">
        <v>23</v>
      </c>
      <c r="G4" s="19" t="s">
        <v>15</v>
      </c>
      <c r="H4" s="19" t="s">
        <v>34</v>
      </c>
      <c r="I4" s="16" t="s">
        <v>3</v>
      </c>
      <c r="J4" s="16" t="s">
        <v>8</v>
      </c>
      <c r="K4" s="16" t="s">
        <v>3</v>
      </c>
      <c r="L4" s="16" t="s">
        <v>2</v>
      </c>
      <c r="M4" s="16" t="s">
        <v>2</v>
      </c>
      <c r="N4" s="16" t="s">
        <v>2</v>
      </c>
      <c r="O4" s="11" t="s">
        <v>17</v>
      </c>
      <c r="P4" s="4">
        <v>8.7777777777777786</v>
      </c>
      <c r="R4" s="5" t="s">
        <v>2</v>
      </c>
      <c r="S4" s="5">
        <v>9</v>
      </c>
    </row>
    <row r="5" spans="1:19" s="5" customFormat="1" ht="42" customHeight="1">
      <c r="A5" s="2">
        <v>3</v>
      </c>
      <c r="B5" s="12">
        <v>2544640026</v>
      </c>
      <c r="C5" s="12">
        <v>250371505005</v>
      </c>
      <c r="D5" s="17">
        <f t="shared" ref="D5:D44" si="0">D4+1</f>
        <v>250003</v>
      </c>
      <c r="E5" s="13" t="s">
        <v>263</v>
      </c>
      <c r="F5" s="12" t="s">
        <v>23</v>
      </c>
      <c r="G5" s="19" t="s">
        <v>15</v>
      </c>
      <c r="H5" s="19" t="s">
        <v>34</v>
      </c>
      <c r="I5" s="16" t="s">
        <v>3</v>
      </c>
      <c r="J5" s="16" t="s">
        <v>6</v>
      </c>
      <c r="K5" s="16" t="s">
        <v>6</v>
      </c>
      <c r="L5" s="16" t="s">
        <v>3</v>
      </c>
      <c r="M5" s="16" t="s">
        <v>3</v>
      </c>
      <c r="N5" s="16" t="s">
        <v>2</v>
      </c>
      <c r="O5" s="11" t="s">
        <v>17</v>
      </c>
      <c r="P5" s="4">
        <v>6.8888888888888893</v>
      </c>
      <c r="R5" s="5" t="s">
        <v>3</v>
      </c>
      <c r="S5" s="5">
        <v>8</v>
      </c>
    </row>
    <row r="6" spans="1:19" s="5" customFormat="1" ht="42" customHeight="1">
      <c r="A6" s="2">
        <v>4</v>
      </c>
      <c r="B6" s="12">
        <v>2544641106</v>
      </c>
      <c r="C6" s="12">
        <v>250371505006</v>
      </c>
      <c r="D6" s="17">
        <f t="shared" si="0"/>
        <v>250004</v>
      </c>
      <c r="E6" s="13" t="s">
        <v>264</v>
      </c>
      <c r="F6" s="12" t="s">
        <v>23</v>
      </c>
      <c r="G6" s="19" t="s">
        <v>15</v>
      </c>
      <c r="H6" s="19" t="s">
        <v>34</v>
      </c>
      <c r="I6" s="16" t="s">
        <v>4</v>
      </c>
      <c r="J6" s="16" t="s">
        <v>11</v>
      </c>
      <c r="K6" s="16" t="s">
        <v>4</v>
      </c>
      <c r="L6" s="16" t="s">
        <v>3</v>
      </c>
      <c r="M6" s="16" t="s">
        <v>3</v>
      </c>
      <c r="N6" s="16" t="s">
        <v>3</v>
      </c>
      <c r="O6" s="11" t="s">
        <v>17</v>
      </c>
      <c r="P6" s="4">
        <v>6.9444444444444446</v>
      </c>
      <c r="R6" s="5" t="s">
        <v>4</v>
      </c>
      <c r="S6" s="5">
        <v>7</v>
      </c>
    </row>
    <row r="7" spans="1:19" s="5" customFormat="1" ht="42" customHeight="1">
      <c r="A7" s="2">
        <v>5</v>
      </c>
      <c r="B7" s="12">
        <v>2544640105</v>
      </c>
      <c r="C7" s="12">
        <v>250371505008</v>
      </c>
      <c r="D7" s="17">
        <f t="shared" si="0"/>
        <v>250005</v>
      </c>
      <c r="E7" s="13" t="s">
        <v>265</v>
      </c>
      <c r="F7" s="12" t="s">
        <v>23</v>
      </c>
      <c r="G7" s="19" t="s">
        <v>15</v>
      </c>
      <c r="H7" s="19" t="s">
        <v>34</v>
      </c>
      <c r="I7" s="16" t="s">
        <v>3</v>
      </c>
      <c r="J7" s="16" t="s">
        <v>6</v>
      </c>
      <c r="K7" s="16" t="s">
        <v>5</v>
      </c>
      <c r="L7" s="16" t="s">
        <v>3</v>
      </c>
      <c r="M7" s="16" t="s">
        <v>2</v>
      </c>
      <c r="N7" s="16" t="s">
        <v>1516</v>
      </c>
      <c r="O7" s="11" t="s">
        <v>1516</v>
      </c>
      <c r="P7" s="4">
        <v>0</v>
      </c>
      <c r="R7" s="5" t="s">
        <v>5</v>
      </c>
      <c r="S7" s="5">
        <v>6</v>
      </c>
    </row>
    <row r="8" spans="1:19" s="5" customFormat="1" ht="42" customHeight="1">
      <c r="A8" s="2">
        <v>6</v>
      </c>
      <c r="B8" s="12">
        <v>2544640153</v>
      </c>
      <c r="C8" s="12">
        <v>250371505012</v>
      </c>
      <c r="D8" s="17">
        <f t="shared" si="0"/>
        <v>250006</v>
      </c>
      <c r="E8" s="13" t="s">
        <v>266</v>
      </c>
      <c r="F8" s="12" t="s">
        <v>23</v>
      </c>
      <c r="G8" s="19" t="s">
        <v>15</v>
      </c>
      <c r="H8" s="19" t="s">
        <v>34</v>
      </c>
      <c r="I8" s="16" t="s">
        <v>3</v>
      </c>
      <c r="J8" s="16" t="s">
        <v>6</v>
      </c>
      <c r="K8" s="16" t="s">
        <v>3</v>
      </c>
      <c r="L8" s="16" t="s">
        <v>2</v>
      </c>
      <c r="M8" s="16" t="s">
        <v>2</v>
      </c>
      <c r="N8" s="16" t="s">
        <v>3</v>
      </c>
      <c r="O8" s="11" t="s">
        <v>17</v>
      </c>
      <c r="P8" s="4">
        <v>7.8888888888888893</v>
      </c>
      <c r="R8" s="5" t="s">
        <v>6</v>
      </c>
      <c r="S8" s="5">
        <v>5</v>
      </c>
    </row>
    <row r="9" spans="1:19" s="5" customFormat="1" ht="42" customHeight="1">
      <c r="A9" s="2">
        <v>7</v>
      </c>
      <c r="B9" s="12">
        <v>2544640819</v>
      </c>
      <c r="C9" s="12">
        <v>250371505013</v>
      </c>
      <c r="D9" s="17">
        <f t="shared" si="0"/>
        <v>250007</v>
      </c>
      <c r="E9" s="13" t="s">
        <v>267</v>
      </c>
      <c r="F9" s="12" t="s">
        <v>23</v>
      </c>
      <c r="G9" s="19" t="s">
        <v>15</v>
      </c>
      <c r="H9" s="19" t="s">
        <v>34</v>
      </c>
      <c r="I9" s="16" t="s">
        <v>2</v>
      </c>
      <c r="J9" s="16" t="s">
        <v>3</v>
      </c>
      <c r="K9" s="16" t="s">
        <v>3</v>
      </c>
      <c r="L9" s="16" t="s">
        <v>8</v>
      </c>
      <c r="M9" s="16" t="s">
        <v>2</v>
      </c>
      <c r="N9" s="16" t="s">
        <v>8</v>
      </c>
      <c r="O9" s="11" t="s">
        <v>17</v>
      </c>
      <c r="P9" s="4">
        <v>8.8888888888888893</v>
      </c>
      <c r="R9" s="5" t="s">
        <v>11</v>
      </c>
      <c r="S9" s="5">
        <v>4</v>
      </c>
    </row>
    <row r="10" spans="1:19" s="5" customFormat="1" ht="42" customHeight="1">
      <c r="A10" s="2">
        <v>8</v>
      </c>
      <c r="B10" s="12">
        <v>2544640546</v>
      </c>
      <c r="C10" s="12">
        <v>250371505014</v>
      </c>
      <c r="D10" s="17">
        <f t="shared" si="0"/>
        <v>250008</v>
      </c>
      <c r="E10" s="13" t="s">
        <v>268</v>
      </c>
      <c r="F10" s="12" t="s">
        <v>23</v>
      </c>
      <c r="G10" s="19" t="s">
        <v>15</v>
      </c>
      <c r="H10" s="19" t="s">
        <v>34</v>
      </c>
      <c r="I10" s="16" t="s">
        <v>2</v>
      </c>
      <c r="J10" s="16" t="s">
        <v>4</v>
      </c>
      <c r="K10" s="16" t="s">
        <v>8</v>
      </c>
      <c r="L10" s="16" t="s">
        <v>8</v>
      </c>
      <c r="M10" s="16" t="s">
        <v>8</v>
      </c>
      <c r="N10" s="16" t="s">
        <v>2</v>
      </c>
      <c r="O10" s="11" t="s">
        <v>17</v>
      </c>
      <c r="P10" s="4">
        <v>9.2777777777777786</v>
      </c>
      <c r="R10" s="5" t="s">
        <v>7</v>
      </c>
      <c r="S10" s="5">
        <v>0</v>
      </c>
    </row>
    <row r="11" spans="1:19" s="5" customFormat="1" ht="42" customHeight="1">
      <c r="A11" s="2">
        <v>9</v>
      </c>
      <c r="B11" s="12">
        <v>2544640127</v>
      </c>
      <c r="C11" s="12">
        <v>250371505015</v>
      </c>
      <c r="D11" s="17">
        <f t="shared" si="0"/>
        <v>250009</v>
      </c>
      <c r="E11" s="13" t="s">
        <v>269</v>
      </c>
      <c r="F11" s="12" t="s">
        <v>23</v>
      </c>
      <c r="G11" s="19" t="s">
        <v>15</v>
      </c>
      <c r="H11" s="19" t="s">
        <v>34</v>
      </c>
      <c r="I11" s="16" t="s">
        <v>2</v>
      </c>
      <c r="J11" s="16" t="s">
        <v>8</v>
      </c>
      <c r="K11" s="16" t="s">
        <v>4</v>
      </c>
      <c r="L11" s="16" t="s">
        <v>2</v>
      </c>
      <c r="M11" s="16" t="s">
        <v>8</v>
      </c>
      <c r="N11" s="16" t="s">
        <v>8</v>
      </c>
      <c r="O11" s="11" t="s">
        <v>17</v>
      </c>
      <c r="P11" s="4">
        <v>8.9444444444444446</v>
      </c>
      <c r="R11" s="35" t="s">
        <v>1522</v>
      </c>
      <c r="S11" s="35">
        <v>0</v>
      </c>
    </row>
    <row r="12" spans="1:19" s="5" customFormat="1" ht="42" customHeight="1">
      <c r="A12" s="2">
        <v>10</v>
      </c>
      <c r="B12" s="12">
        <v>2544640114</v>
      </c>
      <c r="C12" s="12">
        <v>250371505017</v>
      </c>
      <c r="D12" s="17">
        <f t="shared" si="0"/>
        <v>250010</v>
      </c>
      <c r="E12" s="13" t="s">
        <v>270</v>
      </c>
      <c r="F12" s="12" t="s">
        <v>23</v>
      </c>
      <c r="G12" s="19" t="s">
        <v>15</v>
      </c>
      <c r="H12" s="19" t="s">
        <v>34</v>
      </c>
      <c r="I12" s="16" t="s">
        <v>2</v>
      </c>
      <c r="J12" s="16" t="s">
        <v>3</v>
      </c>
      <c r="K12" s="16" t="s">
        <v>2</v>
      </c>
      <c r="L12" s="16" t="s">
        <v>8</v>
      </c>
      <c r="M12" s="16" t="s">
        <v>8</v>
      </c>
      <c r="N12" s="16" t="s">
        <v>3</v>
      </c>
      <c r="O12" s="11" t="s">
        <v>17</v>
      </c>
      <c r="P12" s="4">
        <v>9.1666666666666661</v>
      </c>
      <c r="R12" s="35" t="s">
        <v>1516</v>
      </c>
      <c r="S12" s="35">
        <v>0</v>
      </c>
    </row>
    <row r="13" spans="1:19" s="5" customFormat="1" ht="42" customHeight="1">
      <c r="A13" s="2">
        <v>11</v>
      </c>
      <c r="B13" s="12">
        <v>2544640593</v>
      </c>
      <c r="C13" s="12">
        <v>250371505018</v>
      </c>
      <c r="D13" s="17">
        <f t="shared" si="0"/>
        <v>250011</v>
      </c>
      <c r="E13" s="13" t="s">
        <v>271</v>
      </c>
      <c r="F13" s="12" t="s">
        <v>23</v>
      </c>
      <c r="G13" s="19" t="s">
        <v>15</v>
      </c>
      <c r="H13" s="19" t="s">
        <v>34</v>
      </c>
      <c r="I13" s="16" t="s">
        <v>3</v>
      </c>
      <c r="J13" s="16" t="s">
        <v>8</v>
      </c>
      <c r="K13" s="16" t="s">
        <v>3</v>
      </c>
      <c r="L13" s="16" t="s">
        <v>8</v>
      </c>
      <c r="M13" s="16" t="s">
        <v>8</v>
      </c>
      <c r="N13" s="16" t="s">
        <v>2</v>
      </c>
      <c r="O13" s="11" t="s">
        <v>17</v>
      </c>
      <c r="P13" s="4">
        <v>9.1666666666666661</v>
      </c>
    </row>
    <row r="14" spans="1:19" s="5" customFormat="1" ht="42" customHeight="1">
      <c r="A14" s="2">
        <v>12</v>
      </c>
      <c r="B14" s="12">
        <v>2544640095</v>
      </c>
      <c r="C14" s="12">
        <v>250371505020</v>
      </c>
      <c r="D14" s="17">
        <f t="shared" si="0"/>
        <v>250012</v>
      </c>
      <c r="E14" s="13" t="s">
        <v>272</v>
      </c>
      <c r="F14" s="12" t="s">
        <v>23</v>
      </c>
      <c r="G14" s="19" t="s">
        <v>15</v>
      </c>
      <c r="H14" s="19" t="s">
        <v>34</v>
      </c>
      <c r="I14" s="16" t="s">
        <v>2</v>
      </c>
      <c r="J14" s="16" t="s">
        <v>8</v>
      </c>
      <c r="K14" s="16" t="s">
        <v>8</v>
      </c>
      <c r="L14" s="16" t="s">
        <v>8</v>
      </c>
      <c r="M14" s="16" t="s">
        <v>8</v>
      </c>
      <c r="N14" s="16" t="s">
        <v>8</v>
      </c>
      <c r="O14" s="11" t="s">
        <v>17</v>
      </c>
      <c r="P14" s="4">
        <v>9.8333333333333339</v>
      </c>
    </row>
    <row r="15" spans="1:19" s="5" customFormat="1" ht="42" customHeight="1">
      <c r="A15" s="2">
        <v>13</v>
      </c>
      <c r="B15" s="12">
        <v>2544640951</v>
      </c>
      <c r="C15" s="12">
        <v>250371505021</v>
      </c>
      <c r="D15" s="17">
        <f t="shared" si="0"/>
        <v>250013</v>
      </c>
      <c r="E15" s="13" t="s">
        <v>273</v>
      </c>
      <c r="F15" s="12" t="s">
        <v>23</v>
      </c>
      <c r="G15" s="19" t="s">
        <v>15</v>
      </c>
      <c r="H15" s="19" t="s">
        <v>34</v>
      </c>
      <c r="I15" s="16" t="s">
        <v>3</v>
      </c>
      <c r="J15" s="16" t="s">
        <v>8</v>
      </c>
      <c r="K15" s="16" t="s">
        <v>3</v>
      </c>
      <c r="L15" s="16" t="s">
        <v>8</v>
      </c>
      <c r="M15" s="16" t="s">
        <v>8</v>
      </c>
      <c r="N15" s="16" t="s">
        <v>3</v>
      </c>
      <c r="O15" s="11" t="s">
        <v>17</v>
      </c>
      <c r="P15" s="4">
        <v>9.1111111111111107</v>
      </c>
    </row>
    <row r="16" spans="1:19" s="5" customFormat="1" ht="42" customHeight="1">
      <c r="A16" s="2">
        <v>14</v>
      </c>
      <c r="B16" s="12">
        <v>2544640061</v>
      </c>
      <c r="C16" s="12">
        <v>250371505023</v>
      </c>
      <c r="D16" s="17">
        <f t="shared" si="0"/>
        <v>250014</v>
      </c>
      <c r="E16" s="13" t="s">
        <v>274</v>
      </c>
      <c r="F16" s="12" t="s">
        <v>23</v>
      </c>
      <c r="G16" s="19" t="s">
        <v>15</v>
      </c>
      <c r="H16" s="19" t="s">
        <v>34</v>
      </c>
      <c r="I16" s="16" t="s">
        <v>2</v>
      </c>
      <c r="J16" s="16" t="s">
        <v>8</v>
      </c>
      <c r="K16" s="16" t="s">
        <v>3</v>
      </c>
      <c r="L16" s="16" t="s">
        <v>8</v>
      </c>
      <c r="M16" s="16" t="s">
        <v>2</v>
      </c>
      <c r="N16" s="16" t="s">
        <v>8</v>
      </c>
      <c r="O16" s="11" t="s">
        <v>17</v>
      </c>
      <c r="P16" s="4">
        <v>9.2222222222222214</v>
      </c>
    </row>
    <row r="17" spans="1:16" s="5" customFormat="1" ht="42" customHeight="1">
      <c r="A17" s="2">
        <v>15</v>
      </c>
      <c r="B17" s="12">
        <v>2544640024</v>
      </c>
      <c r="C17" s="12">
        <v>250371505024</v>
      </c>
      <c r="D17" s="17">
        <f t="shared" si="0"/>
        <v>250015</v>
      </c>
      <c r="E17" s="13" t="s">
        <v>275</v>
      </c>
      <c r="F17" s="12" t="s">
        <v>23</v>
      </c>
      <c r="G17" s="19" t="s">
        <v>15</v>
      </c>
      <c r="H17" s="19" t="s">
        <v>34</v>
      </c>
      <c r="I17" s="16" t="s">
        <v>2</v>
      </c>
      <c r="J17" s="16" t="s">
        <v>8</v>
      </c>
      <c r="K17" s="16" t="s">
        <v>6</v>
      </c>
      <c r="L17" s="16" t="s">
        <v>8</v>
      </c>
      <c r="M17" s="16" t="s">
        <v>2</v>
      </c>
      <c r="N17" s="16" t="s">
        <v>8</v>
      </c>
      <c r="O17" s="11" t="s">
        <v>17</v>
      </c>
      <c r="P17" s="4">
        <v>8.5555555555555554</v>
      </c>
    </row>
    <row r="18" spans="1:16" s="5" customFormat="1" ht="42" customHeight="1">
      <c r="A18" s="2">
        <v>16</v>
      </c>
      <c r="B18" s="12">
        <v>2544640178</v>
      </c>
      <c r="C18" s="12">
        <v>250371505026</v>
      </c>
      <c r="D18" s="17">
        <f t="shared" si="0"/>
        <v>250016</v>
      </c>
      <c r="E18" s="13" t="s">
        <v>276</v>
      </c>
      <c r="F18" s="12" t="s">
        <v>23</v>
      </c>
      <c r="G18" s="19" t="s">
        <v>15</v>
      </c>
      <c r="H18" s="19" t="s">
        <v>34</v>
      </c>
      <c r="I18" s="16" t="s">
        <v>2</v>
      </c>
      <c r="J18" s="16" t="s">
        <v>8</v>
      </c>
      <c r="K18" s="16" t="s">
        <v>3</v>
      </c>
      <c r="L18" s="16" t="s">
        <v>8</v>
      </c>
      <c r="M18" s="16" t="s">
        <v>8</v>
      </c>
      <c r="N18" s="16" t="s">
        <v>8</v>
      </c>
      <c r="O18" s="11" t="s">
        <v>17</v>
      </c>
      <c r="P18" s="4">
        <v>9.3888888888888893</v>
      </c>
    </row>
    <row r="19" spans="1:16" s="5" customFormat="1" ht="42" customHeight="1">
      <c r="A19" s="2">
        <v>17</v>
      </c>
      <c r="B19" s="12">
        <v>2544640043</v>
      </c>
      <c r="C19" s="12">
        <v>250371505028</v>
      </c>
      <c r="D19" s="17">
        <f t="shared" si="0"/>
        <v>250017</v>
      </c>
      <c r="E19" s="13" t="s">
        <v>277</v>
      </c>
      <c r="F19" s="12" t="s">
        <v>23</v>
      </c>
      <c r="G19" s="19" t="s">
        <v>15</v>
      </c>
      <c r="H19" s="19" t="s">
        <v>34</v>
      </c>
      <c r="I19" s="16" t="s">
        <v>2</v>
      </c>
      <c r="J19" s="16" t="s">
        <v>3</v>
      </c>
      <c r="K19" s="16" t="s">
        <v>4</v>
      </c>
      <c r="L19" s="16" t="s">
        <v>2</v>
      </c>
      <c r="M19" s="16" t="s">
        <v>2</v>
      </c>
      <c r="N19" s="16" t="s">
        <v>2</v>
      </c>
      <c r="O19" s="11" t="s">
        <v>17</v>
      </c>
      <c r="P19" s="4">
        <v>8.3888888888888893</v>
      </c>
    </row>
    <row r="20" spans="1:16" s="5" customFormat="1" ht="42" customHeight="1">
      <c r="A20" s="2">
        <v>18</v>
      </c>
      <c r="B20" s="12">
        <v>2544640270</v>
      </c>
      <c r="C20" s="12">
        <v>250371505029</v>
      </c>
      <c r="D20" s="17">
        <f t="shared" si="0"/>
        <v>250018</v>
      </c>
      <c r="E20" s="13" t="s">
        <v>278</v>
      </c>
      <c r="F20" s="12" t="s">
        <v>23</v>
      </c>
      <c r="G20" s="19" t="s">
        <v>15</v>
      </c>
      <c r="H20" s="19" t="s">
        <v>34</v>
      </c>
      <c r="I20" s="16" t="s">
        <v>3</v>
      </c>
      <c r="J20" s="16" t="s">
        <v>4</v>
      </c>
      <c r="K20" s="16" t="s">
        <v>4</v>
      </c>
      <c r="L20" s="16" t="s">
        <v>2</v>
      </c>
      <c r="M20" s="16" t="s">
        <v>2</v>
      </c>
      <c r="N20" s="16" t="s">
        <v>2</v>
      </c>
      <c r="O20" s="11" t="s">
        <v>17</v>
      </c>
      <c r="P20" s="4">
        <v>8.0555555555555554</v>
      </c>
    </row>
    <row r="21" spans="1:16" s="5" customFormat="1" ht="42" customHeight="1">
      <c r="A21" s="2">
        <v>19</v>
      </c>
      <c r="B21" s="12">
        <v>2544640015</v>
      </c>
      <c r="C21" s="12">
        <v>250371505031</v>
      </c>
      <c r="D21" s="17">
        <f t="shared" si="0"/>
        <v>250019</v>
      </c>
      <c r="E21" s="13" t="s">
        <v>279</v>
      </c>
      <c r="F21" s="12" t="s">
        <v>23</v>
      </c>
      <c r="G21" s="19" t="s">
        <v>15</v>
      </c>
      <c r="H21" s="19" t="s">
        <v>34</v>
      </c>
      <c r="I21" s="16" t="s">
        <v>3</v>
      </c>
      <c r="J21" s="16" t="s">
        <v>5</v>
      </c>
      <c r="K21" s="16" t="s">
        <v>3</v>
      </c>
      <c r="L21" s="16" t="s">
        <v>2</v>
      </c>
      <c r="M21" s="16" t="s">
        <v>2</v>
      </c>
      <c r="N21" s="16" t="s">
        <v>8</v>
      </c>
      <c r="O21" s="11" t="s">
        <v>17</v>
      </c>
      <c r="P21" s="4">
        <v>8.1666666666666661</v>
      </c>
    </row>
    <row r="22" spans="1:16" s="5" customFormat="1" ht="42" customHeight="1">
      <c r="A22" s="2">
        <v>20</v>
      </c>
      <c r="B22" s="12">
        <v>2544640098</v>
      </c>
      <c r="C22" s="12">
        <v>250371505032</v>
      </c>
      <c r="D22" s="17">
        <f t="shared" si="0"/>
        <v>250020</v>
      </c>
      <c r="E22" s="13" t="s">
        <v>280</v>
      </c>
      <c r="F22" s="12" t="s">
        <v>23</v>
      </c>
      <c r="G22" s="19" t="s">
        <v>15</v>
      </c>
      <c r="H22" s="19" t="s">
        <v>34</v>
      </c>
      <c r="I22" s="16" t="s">
        <v>3</v>
      </c>
      <c r="J22" s="16" t="s">
        <v>4</v>
      </c>
      <c r="K22" s="16" t="s">
        <v>2</v>
      </c>
      <c r="L22" s="16" t="s">
        <v>8</v>
      </c>
      <c r="M22" s="16" t="s">
        <v>8</v>
      </c>
      <c r="N22" s="16" t="s">
        <v>2</v>
      </c>
      <c r="O22" s="11" t="s">
        <v>17</v>
      </c>
      <c r="P22" s="4">
        <v>8.8888888888888893</v>
      </c>
    </row>
    <row r="23" spans="1:16" s="5" customFormat="1" ht="42" customHeight="1">
      <c r="A23" s="2">
        <v>21</v>
      </c>
      <c r="B23" s="12">
        <v>2544640176</v>
      </c>
      <c r="C23" s="12">
        <v>250371505033</v>
      </c>
      <c r="D23" s="17">
        <f t="shared" si="0"/>
        <v>250021</v>
      </c>
      <c r="E23" s="13" t="s">
        <v>281</v>
      </c>
      <c r="F23" s="12" t="s">
        <v>23</v>
      </c>
      <c r="G23" s="19" t="s">
        <v>15</v>
      </c>
      <c r="H23" s="19" t="s">
        <v>34</v>
      </c>
      <c r="I23" s="16" t="s">
        <v>4</v>
      </c>
      <c r="J23" s="16" t="s">
        <v>6</v>
      </c>
      <c r="K23" s="16" t="s">
        <v>4</v>
      </c>
      <c r="L23" s="16" t="s">
        <v>8</v>
      </c>
      <c r="M23" s="16" t="s">
        <v>8</v>
      </c>
      <c r="N23" s="16" t="s">
        <v>2</v>
      </c>
      <c r="O23" s="11" t="s">
        <v>17</v>
      </c>
      <c r="P23" s="4">
        <v>7.9444444444444446</v>
      </c>
    </row>
    <row r="24" spans="1:16" s="5" customFormat="1" ht="42" customHeight="1">
      <c r="A24" s="2">
        <v>22</v>
      </c>
      <c r="B24" s="12">
        <v>2544640175</v>
      </c>
      <c r="C24" s="12">
        <v>250371505034</v>
      </c>
      <c r="D24" s="17">
        <f t="shared" si="0"/>
        <v>250022</v>
      </c>
      <c r="E24" s="13" t="s">
        <v>282</v>
      </c>
      <c r="F24" s="12" t="s">
        <v>23</v>
      </c>
      <c r="G24" s="19" t="s">
        <v>15</v>
      </c>
      <c r="H24" s="19" t="s">
        <v>34</v>
      </c>
      <c r="I24" s="16" t="s">
        <v>4</v>
      </c>
      <c r="J24" s="16" t="s">
        <v>4</v>
      </c>
      <c r="K24" s="16" t="s">
        <v>4</v>
      </c>
      <c r="L24" s="16" t="s">
        <v>8</v>
      </c>
      <c r="M24" s="16" t="s">
        <v>2</v>
      </c>
      <c r="N24" s="16" t="s">
        <v>2</v>
      </c>
      <c r="O24" s="11" t="s">
        <v>17</v>
      </c>
      <c r="P24" s="4">
        <v>8.1111111111111107</v>
      </c>
    </row>
    <row r="25" spans="1:16" s="5" customFormat="1" ht="42" customHeight="1">
      <c r="A25" s="2">
        <v>23</v>
      </c>
      <c r="B25" s="12">
        <v>2544640057</v>
      </c>
      <c r="C25" s="12">
        <v>250371505036</v>
      </c>
      <c r="D25" s="17">
        <f t="shared" si="0"/>
        <v>250023</v>
      </c>
      <c r="E25" s="13" t="s">
        <v>283</v>
      </c>
      <c r="F25" s="12" t="s">
        <v>23</v>
      </c>
      <c r="G25" s="19" t="s">
        <v>15</v>
      </c>
      <c r="H25" s="19" t="s">
        <v>34</v>
      </c>
      <c r="I25" s="16" t="s">
        <v>3</v>
      </c>
      <c r="J25" s="16" t="s">
        <v>2</v>
      </c>
      <c r="K25" s="16" t="s">
        <v>5</v>
      </c>
      <c r="L25" s="16" t="s">
        <v>2</v>
      </c>
      <c r="M25" s="16" t="s">
        <v>8</v>
      </c>
      <c r="N25" s="16" t="s">
        <v>3</v>
      </c>
      <c r="O25" s="11" t="s">
        <v>17</v>
      </c>
      <c r="P25" s="4">
        <v>8.2777777777777786</v>
      </c>
    </row>
    <row r="26" spans="1:16" s="5" customFormat="1" ht="42" customHeight="1">
      <c r="A26" s="2">
        <v>24</v>
      </c>
      <c r="B26" s="12">
        <v>2544640160</v>
      </c>
      <c r="C26" s="12">
        <v>250371505037</v>
      </c>
      <c r="D26" s="17">
        <f t="shared" si="0"/>
        <v>250024</v>
      </c>
      <c r="E26" s="13" t="s">
        <v>284</v>
      </c>
      <c r="F26" s="12" t="s">
        <v>23</v>
      </c>
      <c r="G26" s="19" t="s">
        <v>15</v>
      </c>
      <c r="H26" s="19" t="s">
        <v>34</v>
      </c>
      <c r="I26" s="16" t="s">
        <v>3</v>
      </c>
      <c r="J26" s="16" t="s">
        <v>2</v>
      </c>
      <c r="K26" s="16" t="s">
        <v>3</v>
      </c>
      <c r="L26" s="16" t="s">
        <v>2</v>
      </c>
      <c r="M26" s="16" t="s">
        <v>4</v>
      </c>
      <c r="N26" s="16" t="s">
        <v>2</v>
      </c>
      <c r="O26" s="11" t="s">
        <v>17</v>
      </c>
      <c r="P26" s="4">
        <v>8.2777777777777786</v>
      </c>
    </row>
    <row r="27" spans="1:16" s="5" customFormat="1" ht="42" customHeight="1">
      <c r="A27" s="2">
        <v>25</v>
      </c>
      <c r="B27" s="12">
        <v>2544640076</v>
      </c>
      <c r="C27" s="12">
        <v>250371505041</v>
      </c>
      <c r="D27" s="17">
        <f t="shared" si="0"/>
        <v>250025</v>
      </c>
      <c r="E27" s="13" t="s">
        <v>285</v>
      </c>
      <c r="F27" s="12" t="s">
        <v>23</v>
      </c>
      <c r="G27" s="19" t="s">
        <v>15</v>
      </c>
      <c r="H27" s="19" t="s">
        <v>34</v>
      </c>
      <c r="I27" s="16" t="s">
        <v>4</v>
      </c>
      <c r="J27" s="16" t="s">
        <v>2</v>
      </c>
      <c r="K27" s="16" t="s">
        <v>5</v>
      </c>
      <c r="L27" s="16" t="s">
        <v>2</v>
      </c>
      <c r="M27" s="16" t="s">
        <v>4</v>
      </c>
      <c r="N27" s="16" t="s">
        <v>8</v>
      </c>
      <c r="O27" s="11" t="s">
        <v>17</v>
      </c>
      <c r="P27" s="4">
        <v>7.7222222222222223</v>
      </c>
    </row>
    <row r="28" spans="1:16" s="5" customFormat="1" ht="42" customHeight="1">
      <c r="A28" s="2">
        <v>26</v>
      </c>
      <c r="B28" s="12">
        <v>2544640299</v>
      </c>
      <c r="C28" s="12">
        <v>250371505043</v>
      </c>
      <c r="D28" s="17">
        <f t="shared" si="0"/>
        <v>250026</v>
      </c>
      <c r="E28" s="13" t="s">
        <v>286</v>
      </c>
      <c r="F28" s="12" t="s">
        <v>23</v>
      </c>
      <c r="G28" s="19" t="s">
        <v>15</v>
      </c>
      <c r="H28" s="19" t="s">
        <v>34</v>
      </c>
      <c r="I28" s="16" t="s">
        <v>3</v>
      </c>
      <c r="J28" s="16" t="s">
        <v>3</v>
      </c>
      <c r="K28" s="16" t="s">
        <v>3</v>
      </c>
      <c r="L28" s="16" t="s">
        <v>2</v>
      </c>
      <c r="M28" s="16" t="s">
        <v>2</v>
      </c>
      <c r="N28" s="16" t="s">
        <v>2</v>
      </c>
      <c r="O28" s="11" t="s">
        <v>17</v>
      </c>
      <c r="P28" s="4">
        <v>8.4444444444444446</v>
      </c>
    </row>
    <row r="29" spans="1:16" s="5" customFormat="1" ht="42" customHeight="1">
      <c r="A29" s="2">
        <v>27</v>
      </c>
      <c r="B29" s="12">
        <v>2544640314</v>
      </c>
      <c r="C29" s="12">
        <v>250371505044</v>
      </c>
      <c r="D29" s="17">
        <f t="shared" si="0"/>
        <v>250027</v>
      </c>
      <c r="E29" s="13" t="s">
        <v>287</v>
      </c>
      <c r="F29" s="12" t="s">
        <v>23</v>
      </c>
      <c r="G29" s="19" t="s">
        <v>15</v>
      </c>
      <c r="H29" s="19" t="s">
        <v>34</v>
      </c>
      <c r="I29" s="16" t="s">
        <v>3</v>
      </c>
      <c r="J29" s="16" t="s">
        <v>8</v>
      </c>
      <c r="K29" s="16" t="s">
        <v>6</v>
      </c>
      <c r="L29" s="16" t="s">
        <v>2</v>
      </c>
      <c r="M29" s="16" t="s">
        <v>2</v>
      </c>
      <c r="N29" s="16" t="s">
        <v>2</v>
      </c>
      <c r="O29" s="11" t="s">
        <v>17</v>
      </c>
      <c r="P29" s="4">
        <v>8.1111111111111107</v>
      </c>
    </row>
    <row r="30" spans="1:16" s="5" customFormat="1" ht="42" customHeight="1">
      <c r="A30" s="2">
        <v>28</v>
      </c>
      <c r="B30" s="12">
        <v>2544640217</v>
      </c>
      <c r="C30" s="12">
        <v>250371505046</v>
      </c>
      <c r="D30" s="17">
        <f t="shared" si="0"/>
        <v>250028</v>
      </c>
      <c r="E30" s="13" t="s">
        <v>288</v>
      </c>
      <c r="F30" s="12" t="s">
        <v>23</v>
      </c>
      <c r="G30" s="19" t="s">
        <v>15</v>
      </c>
      <c r="H30" s="19" t="s">
        <v>34</v>
      </c>
      <c r="I30" s="16" t="s">
        <v>3</v>
      </c>
      <c r="J30" s="16" t="s">
        <v>8</v>
      </c>
      <c r="K30" s="16" t="s">
        <v>3</v>
      </c>
      <c r="L30" s="16" t="s">
        <v>8</v>
      </c>
      <c r="M30" s="16" t="s">
        <v>8</v>
      </c>
      <c r="N30" s="16" t="s">
        <v>8</v>
      </c>
      <c r="O30" s="11" t="s">
        <v>17</v>
      </c>
      <c r="P30" s="4">
        <v>9.2222222222222214</v>
      </c>
    </row>
    <row r="31" spans="1:16" s="5" customFormat="1" ht="42" customHeight="1">
      <c r="A31" s="2">
        <v>29</v>
      </c>
      <c r="B31" s="12">
        <v>2544640132</v>
      </c>
      <c r="C31" s="12">
        <v>250371505049</v>
      </c>
      <c r="D31" s="17">
        <f t="shared" si="0"/>
        <v>250029</v>
      </c>
      <c r="E31" s="13" t="s">
        <v>289</v>
      </c>
      <c r="F31" s="12" t="s">
        <v>23</v>
      </c>
      <c r="G31" s="19" t="s">
        <v>15</v>
      </c>
      <c r="H31" s="19" t="s">
        <v>34</v>
      </c>
      <c r="I31" s="16" t="s">
        <v>2</v>
      </c>
      <c r="J31" s="16" t="s">
        <v>8</v>
      </c>
      <c r="K31" s="16" t="s">
        <v>4</v>
      </c>
      <c r="L31" s="16" t="s">
        <v>8</v>
      </c>
      <c r="M31" s="16" t="s">
        <v>8</v>
      </c>
      <c r="N31" s="16" t="s">
        <v>8</v>
      </c>
      <c r="O31" s="11" t="s">
        <v>17</v>
      </c>
      <c r="P31" s="4">
        <v>9.1666666666666661</v>
      </c>
    </row>
    <row r="32" spans="1:16" s="5" customFormat="1" ht="42" customHeight="1">
      <c r="A32" s="2">
        <v>30</v>
      </c>
      <c r="B32" s="12">
        <v>2544640053</v>
      </c>
      <c r="C32" s="12">
        <v>250371505050</v>
      </c>
      <c r="D32" s="17">
        <f t="shared" si="0"/>
        <v>250030</v>
      </c>
      <c r="E32" s="13" t="s">
        <v>290</v>
      </c>
      <c r="F32" s="12" t="s">
        <v>23</v>
      </c>
      <c r="G32" s="19" t="s">
        <v>15</v>
      </c>
      <c r="H32" s="19" t="s">
        <v>34</v>
      </c>
      <c r="I32" s="16" t="s">
        <v>4</v>
      </c>
      <c r="J32" s="16" t="s">
        <v>3</v>
      </c>
      <c r="K32" s="16" t="s">
        <v>4</v>
      </c>
      <c r="L32" s="16" t="s">
        <v>8</v>
      </c>
      <c r="M32" s="16" t="s">
        <v>3</v>
      </c>
      <c r="N32" s="16" t="s">
        <v>8</v>
      </c>
      <c r="O32" s="11" t="s">
        <v>17</v>
      </c>
      <c r="P32" s="4">
        <v>8.1666666666666661</v>
      </c>
    </row>
    <row r="33" spans="1:16" s="5" customFormat="1" ht="42" customHeight="1">
      <c r="A33" s="2">
        <v>31</v>
      </c>
      <c r="B33" s="12">
        <v>2544640075</v>
      </c>
      <c r="C33" s="12">
        <v>250371505051</v>
      </c>
      <c r="D33" s="17">
        <f t="shared" si="0"/>
        <v>250031</v>
      </c>
      <c r="E33" s="13" t="s">
        <v>291</v>
      </c>
      <c r="F33" s="12" t="s">
        <v>23</v>
      </c>
      <c r="G33" s="19" t="s">
        <v>15</v>
      </c>
      <c r="H33" s="19" t="s">
        <v>34</v>
      </c>
      <c r="I33" s="16" t="s">
        <v>3</v>
      </c>
      <c r="J33" s="16" t="s">
        <v>3</v>
      </c>
      <c r="K33" s="16" t="s">
        <v>3</v>
      </c>
      <c r="L33" s="16" t="s">
        <v>2</v>
      </c>
      <c r="M33" s="16" t="s">
        <v>3</v>
      </c>
      <c r="N33" s="16" t="s">
        <v>2</v>
      </c>
      <c r="O33" s="11" t="s">
        <v>17</v>
      </c>
      <c r="P33" s="4">
        <v>8.2777777777777786</v>
      </c>
    </row>
    <row r="34" spans="1:16" s="5" customFormat="1" ht="42" customHeight="1">
      <c r="A34" s="2">
        <v>32</v>
      </c>
      <c r="B34" s="12">
        <v>2544640036</v>
      </c>
      <c r="C34" s="12">
        <v>250371505052</v>
      </c>
      <c r="D34" s="17">
        <f t="shared" si="0"/>
        <v>250032</v>
      </c>
      <c r="E34" s="13" t="s">
        <v>292</v>
      </c>
      <c r="F34" s="12" t="s">
        <v>23</v>
      </c>
      <c r="G34" s="19" t="s">
        <v>15</v>
      </c>
      <c r="H34" s="19" t="s">
        <v>34</v>
      </c>
      <c r="I34" s="16" t="s">
        <v>2</v>
      </c>
      <c r="J34" s="16" t="s">
        <v>8</v>
      </c>
      <c r="K34" s="16" t="s">
        <v>2</v>
      </c>
      <c r="L34" s="16" t="s">
        <v>8</v>
      </c>
      <c r="M34" s="16" t="s">
        <v>8</v>
      </c>
      <c r="N34" s="16" t="s">
        <v>8</v>
      </c>
      <c r="O34" s="11" t="s">
        <v>17</v>
      </c>
      <c r="P34" s="4">
        <v>9.6111111111111107</v>
      </c>
    </row>
    <row r="35" spans="1:16" s="5" customFormat="1" ht="42" customHeight="1">
      <c r="A35" s="2">
        <v>33</v>
      </c>
      <c r="B35" s="12">
        <v>2544640018</v>
      </c>
      <c r="C35" s="12">
        <v>250371505053</v>
      </c>
      <c r="D35" s="17">
        <f t="shared" si="0"/>
        <v>250033</v>
      </c>
      <c r="E35" s="13" t="s">
        <v>293</v>
      </c>
      <c r="F35" s="12" t="s">
        <v>23</v>
      </c>
      <c r="G35" s="19" t="s">
        <v>15</v>
      </c>
      <c r="H35" s="19" t="s">
        <v>34</v>
      </c>
      <c r="I35" s="16" t="s">
        <v>4</v>
      </c>
      <c r="J35" s="16" t="s">
        <v>4</v>
      </c>
      <c r="K35" s="16" t="s">
        <v>4</v>
      </c>
      <c r="L35" s="16" t="s">
        <v>2</v>
      </c>
      <c r="M35" s="16" t="s">
        <v>8</v>
      </c>
      <c r="N35" s="16" t="s">
        <v>2</v>
      </c>
      <c r="O35" s="11" t="s">
        <v>17</v>
      </c>
      <c r="P35" s="4">
        <v>8.0555555555555554</v>
      </c>
    </row>
    <row r="36" spans="1:16" s="5" customFormat="1" ht="42" customHeight="1">
      <c r="A36" s="2">
        <v>34</v>
      </c>
      <c r="B36" s="12">
        <v>2544640428</v>
      </c>
      <c r="C36" s="12">
        <v>250371505057</v>
      </c>
      <c r="D36" s="17">
        <f t="shared" si="0"/>
        <v>250034</v>
      </c>
      <c r="E36" s="13" t="s">
        <v>294</v>
      </c>
      <c r="F36" s="12" t="s">
        <v>23</v>
      </c>
      <c r="G36" s="19" t="s">
        <v>15</v>
      </c>
      <c r="H36" s="19" t="s">
        <v>34</v>
      </c>
      <c r="I36" s="16" t="s">
        <v>3</v>
      </c>
      <c r="J36" s="16" t="s">
        <v>8</v>
      </c>
      <c r="K36" s="16" t="s">
        <v>8</v>
      </c>
      <c r="L36" s="16" t="s">
        <v>8</v>
      </c>
      <c r="M36" s="16" t="s">
        <v>8</v>
      </c>
      <c r="N36" s="16" t="s">
        <v>8</v>
      </c>
      <c r="O36" s="11" t="s">
        <v>17</v>
      </c>
      <c r="P36" s="4">
        <v>9.6666666666666661</v>
      </c>
    </row>
    <row r="37" spans="1:16" s="5" customFormat="1" ht="42" customHeight="1">
      <c r="A37" s="2">
        <v>35</v>
      </c>
      <c r="B37" s="12">
        <v>2544640149</v>
      </c>
      <c r="C37" s="12">
        <v>250371505058</v>
      </c>
      <c r="D37" s="17">
        <f t="shared" si="0"/>
        <v>250035</v>
      </c>
      <c r="E37" s="13" t="s">
        <v>295</v>
      </c>
      <c r="F37" s="12" t="s">
        <v>23</v>
      </c>
      <c r="G37" s="19" t="s">
        <v>15</v>
      </c>
      <c r="H37" s="19" t="s">
        <v>34</v>
      </c>
      <c r="I37" s="16" t="s">
        <v>2</v>
      </c>
      <c r="J37" s="16" t="s">
        <v>4</v>
      </c>
      <c r="K37" s="16" t="s">
        <v>4</v>
      </c>
      <c r="L37" s="16" t="s">
        <v>2</v>
      </c>
      <c r="M37" s="16" t="s">
        <v>3</v>
      </c>
      <c r="N37" s="16" t="s">
        <v>3</v>
      </c>
      <c r="O37" s="11" t="s">
        <v>17</v>
      </c>
      <c r="P37" s="4">
        <v>8</v>
      </c>
    </row>
    <row r="38" spans="1:16" s="5" customFormat="1" ht="42" customHeight="1">
      <c r="A38" s="2">
        <v>36</v>
      </c>
      <c r="B38" s="12">
        <v>2544640167</v>
      </c>
      <c r="C38" s="12">
        <v>250371505061</v>
      </c>
      <c r="D38" s="17">
        <f t="shared" si="0"/>
        <v>250036</v>
      </c>
      <c r="E38" s="13" t="s">
        <v>296</v>
      </c>
      <c r="F38" s="12" t="s">
        <v>23</v>
      </c>
      <c r="G38" s="19" t="s">
        <v>15</v>
      </c>
      <c r="H38" s="19" t="s">
        <v>34</v>
      </c>
      <c r="I38" s="16" t="s">
        <v>4</v>
      </c>
      <c r="J38" s="16" t="s">
        <v>2</v>
      </c>
      <c r="K38" s="16" t="s">
        <v>4</v>
      </c>
      <c r="L38" s="16" t="s">
        <v>2</v>
      </c>
      <c r="M38" s="16" t="s">
        <v>2</v>
      </c>
      <c r="N38" s="16" t="s">
        <v>2</v>
      </c>
      <c r="O38" s="11" t="s">
        <v>17</v>
      </c>
      <c r="P38" s="4">
        <v>8.2222222222222214</v>
      </c>
    </row>
    <row r="39" spans="1:16" s="5" customFormat="1" ht="42" customHeight="1">
      <c r="A39" s="2">
        <v>37</v>
      </c>
      <c r="B39" s="12">
        <v>2544640787</v>
      </c>
      <c r="C39" s="12">
        <v>250371505063</v>
      </c>
      <c r="D39" s="17">
        <f t="shared" si="0"/>
        <v>250037</v>
      </c>
      <c r="E39" s="13" t="s">
        <v>297</v>
      </c>
      <c r="F39" s="12" t="s">
        <v>23</v>
      </c>
      <c r="G39" s="19" t="s">
        <v>15</v>
      </c>
      <c r="H39" s="19" t="s">
        <v>34</v>
      </c>
      <c r="I39" s="16" t="s">
        <v>2</v>
      </c>
      <c r="J39" s="16" t="s">
        <v>5</v>
      </c>
      <c r="K39" s="16" t="s">
        <v>4</v>
      </c>
      <c r="L39" s="16" t="s">
        <v>2</v>
      </c>
      <c r="M39" s="16" t="s">
        <v>2</v>
      </c>
      <c r="N39" s="16" t="s">
        <v>2</v>
      </c>
      <c r="O39" s="11" t="s">
        <v>17</v>
      </c>
      <c r="P39" s="4">
        <v>8.0555555555555554</v>
      </c>
    </row>
    <row r="40" spans="1:16" s="5" customFormat="1" ht="42" customHeight="1">
      <c r="A40" s="2">
        <v>38</v>
      </c>
      <c r="B40" s="12">
        <v>2544640189</v>
      </c>
      <c r="C40" s="12">
        <v>250371505064</v>
      </c>
      <c r="D40" s="17">
        <f t="shared" si="0"/>
        <v>250038</v>
      </c>
      <c r="E40" s="13" t="s">
        <v>298</v>
      </c>
      <c r="F40" s="12" t="s">
        <v>23</v>
      </c>
      <c r="G40" s="19" t="s">
        <v>15</v>
      </c>
      <c r="H40" s="19" t="s">
        <v>34</v>
      </c>
      <c r="I40" s="16" t="s">
        <v>5</v>
      </c>
      <c r="J40" s="16" t="s">
        <v>3</v>
      </c>
      <c r="K40" s="16" t="s">
        <v>5</v>
      </c>
      <c r="L40" s="16" t="s">
        <v>3</v>
      </c>
      <c r="M40" s="16" t="s">
        <v>4</v>
      </c>
      <c r="N40" s="16" t="s">
        <v>2</v>
      </c>
      <c r="O40" s="11" t="s">
        <v>17</v>
      </c>
      <c r="P40" s="4">
        <v>7.1111111111111107</v>
      </c>
    </row>
    <row r="41" spans="1:16" s="5" customFormat="1" ht="42" customHeight="1">
      <c r="A41" s="2">
        <v>39</v>
      </c>
      <c r="B41" s="12">
        <v>2544640256</v>
      </c>
      <c r="C41" s="12">
        <v>250371505065</v>
      </c>
      <c r="D41" s="17">
        <f t="shared" si="0"/>
        <v>250039</v>
      </c>
      <c r="E41" s="13" t="s">
        <v>299</v>
      </c>
      <c r="F41" s="12" t="s">
        <v>23</v>
      </c>
      <c r="G41" s="19" t="s">
        <v>15</v>
      </c>
      <c r="H41" s="19" t="s">
        <v>34</v>
      </c>
      <c r="I41" s="16" t="s">
        <v>4</v>
      </c>
      <c r="J41" s="16" t="s">
        <v>4</v>
      </c>
      <c r="K41" s="16" t="s">
        <v>4</v>
      </c>
      <c r="L41" s="16" t="s">
        <v>8</v>
      </c>
      <c r="M41" s="16" t="s">
        <v>2</v>
      </c>
      <c r="N41" s="16" t="s">
        <v>2</v>
      </c>
      <c r="O41" s="11" t="s">
        <v>17</v>
      </c>
      <c r="P41" s="4">
        <v>8.1111111111111107</v>
      </c>
    </row>
    <row r="42" spans="1:16" s="5" customFormat="1" ht="42" customHeight="1">
      <c r="A42" s="2">
        <v>40</v>
      </c>
      <c r="B42" s="12">
        <v>2544640142</v>
      </c>
      <c r="C42" s="12">
        <v>250371505066</v>
      </c>
      <c r="D42" s="17">
        <f t="shared" si="0"/>
        <v>250040</v>
      </c>
      <c r="E42" s="13" t="s">
        <v>300</v>
      </c>
      <c r="F42" s="12" t="s">
        <v>23</v>
      </c>
      <c r="G42" s="19" t="s">
        <v>15</v>
      </c>
      <c r="H42" s="19" t="s">
        <v>34</v>
      </c>
      <c r="I42" s="16" t="s">
        <v>3</v>
      </c>
      <c r="J42" s="16" t="s">
        <v>11</v>
      </c>
      <c r="K42" s="16" t="s">
        <v>4</v>
      </c>
      <c r="L42" s="16" t="s">
        <v>2</v>
      </c>
      <c r="M42" s="16" t="s">
        <v>3</v>
      </c>
      <c r="N42" s="16" t="s">
        <v>2</v>
      </c>
      <c r="O42" s="11" t="s">
        <v>17</v>
      </c>
      <c r="P42" s="4">
        <v>7.3888888888888893</v>
      </c>
    </row>
    <row r="43" spans="1:16" s="5" customFormat="1" ht="42" customHeight="1">
      <c r="A43" s="2">
        <v>41</v>
      </c>
      <c r="B43" s="12">
        <v>2544640328</v>
      </c>
      <c r="C43" s="12">
        <v>250371505067</v>
      </c>
      <c r="D43" s="17">
        <f t="shared" si="0"/>
        <v>250041</v>
      </c>
      <c r="E43" s="13" t="s">
        <v>301</v>
      </c>
      <c r="F43" s="12" t="s">
        <v>23</v>
      </c>
      <c r="G43" s="19" t="s">
        <v>15</v>
      </c>
      <c r="H43" s="19" t="s">
        <v>34</v>
      </c>
      <c r="I43" s="16" t="s">
        <v>2</v>
      </c>
      <c r="J43" s="16" t="s">
        <v>8</v>
      </c>
      <c r="K43" s="16" t="s">
        <v>3</v>
      </c>
      <c r="L43" s="16" t="s">
        <v>8</v>
      </c>
      <c r="M43" s="16" t="s">
        <v>8</v>
      </c>
      <c r="N43" s="16" t="s">
        <v>8</v>
      </c>
      <c r="O43" s="11" t="s">
        <v>17</v>
      </c>
      <c r="P43" s="4">
        <v>9.3888888888888893</v>
      </c>
    </row>
    <row r="44" spans="1:16" s="5" customFormat="1" ht="42" customHeight="1">
      <c r="A44" s="2">
        <v>42</v>
      </c>
      <c r="B44" s="12">
        <v>2544640124</v>
      </c>
      <c r="C44" s="12">
        <v>250371505069</v>
      </c>
      <c r="D44" s="17">
        <f t="shared" si="0"/>
        <v>250042</v>
      </c>
      <c r="E44" s="13" t="s">
        <v>302</v>
      </c>
      <c r="F44" s="12" t="s">
        <v>23</v>
      </c>
      <c r="G44" s="19" t="s">
        <v>15</v>
      </c>
      <c r="H44" s="19" t="s">
        <v>34</v>
      </c>
      <c r="I44" s="16" t="s">
        <v>3</v>
      </c>
      <c r="J44" s="16" t="s">
        <v>2</v>
      </c>
      <c r="K44" s="16" t="s">
        <v>3</v>
      </c>
      <c r="L44" s="16" t="s">
        <v>2</v>
      </c>
      <c r="M44" s="16" t="s">
        <v>8</v>
      </c>
      <c r="N44" s="16" t="s">
        <v>3</v>
      </c>
      <c r="O44" s="11" t="s">
        <v>17</v>
      </c>
      <c r="P44" s="4">
        <v>8.7222222222222214</v>
      </c>
    </row>
  </sheetData>
  <mergeCells count="8">
    <mergeCell ref="H1:H2"/>
    <mergeCell ref="P1:P2"/>
    <mergeCell ref="A1:A2"/>
    <mergeCell ref="B1:B2"/>
    <mergeCell ref="C1:C2"/>
    <mergeCell ref="E1:E2"/>
    <mergeCell ref="F1:F2"/>
    <mergeCell ref="G1:G2"/>
  </mergeCells>
  <printOptions horizontalCentered="1"/>
  <pageMargins left="0.4" right="0.32" top="0.53" bottom="0.59" header="0.3" footer="0.3"/>
  <pageSetup paperSize="8"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29"/>
  <sheetViews>
    <sheetView topLeftCell="C2" workbookViewId="0">
      <selection activeCell="L39" sqref="L39"/>
    </sheetView>
  </sheetViews>
  <sheetFormatPr defaultRowHeight="15"/>
  <cols>
    <col min="1" max="1" width="6.5703125" style="6" bestFit="1" customWidth="1"/>
    <col min="2" max="2" width="16.28515625" style="6" customWidth="1"/>
    <col min="3" max="3" width="18.28515625" style="6" bestFit="1" customWidth="1"/>
    <col min="4" max="4" width="18.28515625" style="6" customWidth="1"/>
    <col min="5" max="5" width="35.7109375" style="6" customWidth="1"/>
    <col min="6" max="6" width="9.42578125" style="32" customWidth="1"/>
    <col min="7" max="7" width="14.7109375" style="32" customWidth="1"/>
    <col min="8" max="8" width="13" style="6" customWidth="1"/>
    <col min="9" max="9" width="11.140625" style="6" customWidth="1"/>
    <col min="10" max="10" width="18.5703125" style="6" customWidth="1"/>
    <col min="11" max="11" width="18.85546875" style="6" customWidth="1"/>
    <col min="12" max="15" width="17.85546875" style="6" customWidth="1"/>
    <col min="16" max="16" width="12" style="7" customWidth="1"/>
    <col min="17" max="16384" width="9.140625" style="6"/>
  </cols>
  <sheetData>
    <row r="1" spans="1:16" s="8" customFormat="1" ht="94.5" customHeight="1">
      <c r="A1" s="53" t="s">
        <v>1</v>
      </c>
      <c r="B1" s="53" t="s">
        <v>16</v>
      </c>
      <c r="C1" s="53" t="s">
        <v>12</v>
      </c>
      <c r="D1" s="33" t="s">
        <v>1520</v>
      </c>
      <c r="E1" s="53" t="s">
        <v>13</v>
      </c>
      <c r="F1" s="53" t="s">
        <v>14</v>
      </c>
      <c r="G1" s="53" t="s">
        <v>0</v>
      </c>
      <c r="H1" s="53" t="s">
        <v>31</v>
      </c>
      <c r="I1" s="1" t="s">
        <v>78</v>
      </c>
      <c r="J1" s="1" t="s">
        <v>83</v>
      </c>
      <c r="K1" s="1" t="s">
        <v>80</v>
      </c>
      <c r="L1" s="1" t="s">
        <v>303</v>
      </c>
      <c r="M1" s="1" t="s">
        <v>304</v>
      </c>
      <c r="N1" s="1" t="s">
        <v>305</v>
      </c>
      <c r="O1" s="1" t="s">
        <v>10</v>
      </c>
      <c r="P1" s="55" t="s">
        <v>9</v>
      </c>
    </row>
    <row r="2" spans="1:16" s="8" customFormat="1" ht="34.5" customHeight="1">
      <c r="A2" s="54"/>
      <c r="B2" s="54"/>
      <c r="C2" s="54"/>
      <c r="D2" s="34"/>
      <c r="E2" s="54"/>
      <c r="F2" s="54"/>
      <c r="G2" s="54"/>
      <c r="H2" s="54"/>
      <c r="I2" s="10">
        <v>3</v>
      </c>
      <c r="J2" s="10">
        <v>3</v>
      </c>
      <c r="K2" s="10">
        <v>4</v>
      </c>
      <c r="L2" s="10">
        <v>4</v>
      </c>
      <c r="M2" s="10">
        <v>3</v>
      </c>
      <c r="N2" s="10">
        <v>1</v>
      </c>
      <c r="O2" s="10">
        <f>SUM(I2:N2)</f>
        <v>18</v>
      </c>
      <c r="P2" s="56"/>
    </row>
    <row r="3" spans="1:16" s="5" customFormat="1" ht="42" customHeight="1">
      <c r="A3" s="2">
        <v>1</v>
      </c>
      <c r="B3" s="12">
        <v>2544641114</v>
      </c>
      <c r="C3" s="12">
        <v>250371505001</v>
      </c>
      <c r="D3" s="17">
        <v>250043</v>
      </c>
      <c r="E3" s="13" t="s">
        <v>306</v>
      </c>
      <c r="F3" s="14" t="s">
        <v>23</v>
      </c>
      <c r="G3" s="15" t="s">
        <v>15</v>
      </c>
      <c r="H3" s="15" t="s">
        <v>85</v>
      </c>
      <c r="I3" s="3" t="s">
        <v>3</v>
      </c>
      <c r="J3" s="16" t="s">
        <v>4</v>
      </c>
      <c r="K3" s="16" t="s">
        <v>6</v>
      </c>
      <c r="L3" s="16" t="s">
        <v>2</v>
      </c>
      <c r="M3" s="16" t="s">
        <v>2</v>
      </c>
      <c r="N3" s="16" t="s">
        <v>2</v>
      </c>
      <c r="O3" s="11" t="s">
        <v>17</v>
      </c>
      <c r="P3" s="4">
        <v>7.6111111111111107</v>
      </c>
    </row>
    <row r="4" spans="1:16" s="5" customFormat="1" ht="42" customHeight="1">
      <c r="A4" s="2">
        <v>2</v>
      </c>
      <c r="B4" s="12">
        <v>2544640040</v>
      </c>
      <c r="C4" s="12">
        <v>250371505003</v>
      </c>
      <c r="D4" s="17">
        <f>D3+1</f>
        <v>250044</v>
      </c>
      <c r="E4" s="13" t="s">
        <v>307</v>
      </c>
      <c r="F4" s="14" t="s">
        <v>23</v>
      </c>
      <c r="G4" s="15" t="s">
        <v>15</v>
      </c>
      <c r="H4" s="15" t="s">
        <v>85</v>
      </c>
      <c r="I4" s="3" t="s">
        <v>2</v>
      </c>
      <c r="J4" s="16" t="s">
        <v>5</v>
      </c>
      <c r="K4" s="16" t="s">
        <v>4</v>
      </c>
      <c r="L4" s="16" t="s">
        <v>3</v>
      </c>
      <c r="M4" s="16" t="s">
        <v>8</v>
      </c>
      <c r="N4" s="16" t="s">
        <v>8</v>
      </c>
      <c r="O4" s="11" t="s">
        <v>17</v>
      </c>
      <c r="P4" s="4">
        <v>8.0555555555555554</v>
      </c>
    </row>
    <row r="5" spans="1:16" s="5" customFormat="1" ht="42" customHeight="1">
      <c r="A5" s="2">
        <v>3</v>
      </c>
      <c r="B5" s="12">
        <v>2544640255</v>
      </c>
      <c r="C5" s="12">
        <v>250371505007</v>
      </c>
      <c r="D5" s="17">
        <f t="shared" ref="D5:D29" si="0">D4+1</f>
        <v>250045</v>
      </c>
      <c r="E5" s="13" t="s">
        <v>308</v>
      </c>
      <c r="F5" s="14" t="s">
        <v>23</v>
      </c>
      <c r="G5" s="15" t="s">
        <v>15</v>
      </c>
      <c r="H5" s="15" t="s">
        <v>85</v>
      </c>
      <c r="I5" s="3" t="s">
        <v>3</v>
      </c>
      <c r="J5" s="16" t="s">
        <v>3</v>
      </c>
      <c r="K5" s="16" t="s">
        <v>2</v>
      </c>
      <c r="L5" s="16" t="s">
        <v>2</v>
      </c>
      <c r="M5" s="16" t="s">
        <v>8</v>
      </c>
      <c r="N5" s="16" t="s">
        <v>8</v>
      </c>
      <c r="O5" s="11" t="s">
        <v>17</v>
      </c>
      <c r="P5" s="4">
        <v>8.8888888888888893</v>
      </c>
    </row>
    <row r="6" spans="1:16" s="5" customFormat="1" ht="42" customHeight="1">
      <c r="A6" s="2">
        <v>4</v>
      </c>
      <c r="B6" s="12">
        <v>2544640137</v>
      </c>
      <c r="C6" s="12">
        <v>250371505009</v>
      </c>
      <c r="D6" s="17">
        <f t="shared" si="0"/>
        <v>250046</v>
      </c>
      <c r="E6" s="13" t="s">
        <v>309</v>
      </c>
      <c r="F6" s="14" t="s">
        <v>23</v>
      </c>
      <c r="G6" s="15" t="s">
        <v>15</v>
      </c>
      <c r="H6" s="15" t="s">
        <v>85</v>
      </c>
      <c r="I6" s="3" t="s">
        <v>2</v>
      </c>
      <c r="J6" s="16" t="s">
        <v>4</v>
      </c>
      <c r="K6" s="16" t="s">
        <v>6</v>
      </c>
      <c r="L6" s="16" t="s">
        <v>2</v>
      </c>
      <c r="M6" s="16" t="s">
        <v>3</v>
      </c>
      <c r="N6" s="16" t="s">
        <v>3</v>
      </c>
      <c r="O6" s="11" t="s">
        <v>17</v>
      </c>
      <c r="P6" s="4">
        <v>7.5555555555555554</v>
      </c>
    </row>
    <row r="7" spans="1:16" s="5" customFormat="1" ht="42" customHeight="1">
      <c r="A7" s="2">
        <v>5</v>
      </c>
      <c r="B7" s="12">
        <v>2544640220</v>
      </c>
      <c r="C7" s="12">
        <v>250371505010</v>
      </c>
      <c r="D7" s="17">
        <f t="shared" si="0"/>
        <v>250047</v>
      </c>
      <c r="E7" s="13" t="s">
        <v>310</v>
      </c>
      <c r="F7" s="14" t="s">
        <v>23</v>
      </c>
      <c r="G7" s="15" t="s">
        <v>15</v>
      </c>
      <c r="H7" s="15" t="s">
        <v>85</v>
      </c>
      <c r="I7" s="3" t="s">
        <v>2</v>
      </c>
      <c r="J7" s="16" t="s">
        <v>3</v>
      </c>
      <c r="K7" s="16" t="s">
        <v>3</v>
      </c>
      <c r="L7" s="16" t="s">
        <v>8</v>
      </c>
      <c r="M7" s="16" t="s">
        <v>2</v>
      </c>
      <c r="N7" s="16" t="s">
        <v>2</v>
      </c>
      <c r="O7" s="11" t="s">
        <v>17</v>
      </c>
      <c r="P7" s="4">
        <v>8.8333333333333339</v>
      </c>
    </row>
    <row r="8" spans="1:16" s="5" customFormat="1" ht="42" customHeight="1">
      <c r="A8" s="2">
        <v>6</v>
      </c>
      <c r="B8" s="12">
        <v>2544640069</v>
      </c>
      <c r="C8" s="12">
        <v>250371505011</v>
      </c>
      <c r="D8" s="17">
        <f t="shared" si="0"/>
        <v>250048</v>
      </c>
      <c r="E8" s="13" t="s">
        <v>311</v>
      </c>
      <c r="F8" s="14" t="s">
        <v>23</v>
      </c>
      <c r="G8" s="15" t="s">
        <v>15</v>
      </c>
      <c r="H8" s="15" t="s">
        <v>85</v>
      </c>
      <c r="I8" s="3" t="s">
        <v>3</v>
      </c>
      <c r="J8" s="16" t="s">
        <v>4</v>
      </c>
      <c r="K8" s="16" t="s">
        <v>4</v>
      </c>
      <c r="L8" s="16" t="s">
        <v>8</v>
      </c>
      <c r="M8" s="16" t="s">
        <v>3</v>
      </c>
      <c r="N8" s="16" t="s">
        <v>2</v>
      </c>
      <c r="O8" s="11" t="s">
        <v>17</v>
      </c>
      <c r="P8" s="4">
        <v>8.1111111111111107</v>
      </c>
    </row>
    <row r="9" spans="1:16" s="5" customFormat="1" ht="42" customHeight="1">
      <c r="A9" s="2">
        <v>7</v>
      </c>
      <c r="B9" s="12">
        <v>2544640080</v>
      </c>
      <c r="C9" s="12">
        <v>250371505016</v>
      </c>
      <c r="D9" s="17">
        <f t="shared" si="0"/>
        <v>250049</v>
      </c>
      <c r="E9" s="13" t="s">
        <v>312</v>
      </c>
      <c r="F9" s="14" t="s">
        <v>23</v>
      </c>
      <c r="G9" s="15" t="s">
        <v>15</v>
      </c>
      <c r="H9" s="15" t="s">
        <v>85</v>
      </c>
      <c r="I9" s="3" t="s">
        <v>2</v>
      </c>
      <c r="J9" s="16" t="s">
        <v>2</v>
      </c>
      <c r="K9" s="16" t="s">
        <v>3</v>
      </c>
      <c r="L9" s="16" t="s">
        <v>8</v>
      </c>
      <c r="M9" s="16" t="s">
        <v>8</v>
      </c>
      <c r="N9" s="16" t="s">
        <v>2</v>
      </c>
      <c r="O9" s="11" t="s">
        <v>17</v>
      </c>
      <c r="P9" s="4">
        <v>9.1666666666666661</v>
      </c>
    </row>
    <row r="10" spans="1:16" s="5" customFormat="1" ht="42" customHeight="1">
      <c r="A10" s="2">
        <v>8</v>
      </c>
      <c r="B10" s="12">
        <v>2544640012</v>
      </c>
      <c r="C10" s="12">
        <v>250371505019</v>
      </c>
      <c r="D10" s="17">
        <f t="shared" si="0"/>
        <v>250050</v>
      </c>
      <c r="E10" s="13" t="s">
        <v>313</v>
      </c>
      <c r="F10" s="14" t="s">
        <v>23</v>
      </c>
      <c r="G10" s="15" t="s">
        <v>15</v>
      </c>
      <c r="H10" s="15" t="s">
        <v>85</v>
      </c>
      <c r="I10" s="3" t="s">
        <v>2</v>
      </c>
      <c r="J10" s="16" t="s">
        <v>8</v>
      </c>
      <c r="K10" s="16" t="s">
        <v>8</v>
      </c>
      <c r="L10" s="16" t="s">
        <v>8</v>
      </c>
      <c r="M10" s="16" t="s">
        <v>8</v>
      </c>
      <c r="N10" s="16" t="s">
        <v>8</v>
      </c>
      <c r="O10" s="11" t="s">
        <v>17</v>
      </c>
      <c r="P10" s="4">
        <v>9.8333333333333339</v>
      </c>
    </row>
    <row r="11" spans="1:16" s="5" customFormat="1" ht="42" customHeight="1">
      <c r="A11" s="2">
        <v>9</v>
      </c>
      <c r="B11" s="12">
        <v>2544640063</v>
      </c>
      <c r="C11" s="12">
        <v>250371505022</v>
      </c>
      <c r="D11" s="17">
        <f t="shared" si="0"/>
        <v>250051</v>
      </c>
      <c r="E11" s="13" t="s">
        <v>314</v>
      </c>
      <c r="F11" s="14" t="s">
        <v>23</v>
      </c>
      <c r="G11" s="15" t="s">
        <v>15</v>
      </c>
      <c r="H11" s="15" t="s">
        <v>85</v>
      </c>
      <c r="I11" s="3" t="s">
        <v>3</v>
      </c>
      <c r="J11" s="16" t="s">
        <v>6</v>
      </c>
      <c r="K11" s="16" t="s">
        <v>6</v>
      </c>
      <c r="L11" s="16" t="s">
        <v>8</v>
      </c>
      <c r="M11" s="16" t="s">
        <v>2</v>
      </c>
      <c r="N11" s="16" t="s">
        <v>8</v>
      </c>
      <c r="O11" s="11" t="s">
        <v>17</v>
      </c>
      <c r="P11" s="4">
        <v>7.5555555555555554</v>
      </c>
    </row>
    <row r="12" spans="1:16" s="5" customFormat="1" ht="42" customHeight="1">
      <c r="A12" s="2">
        <v>10</v>
      </c>
      <c r="B12" s="12">
        <v>2544640583</v>
      </c>
      <c r="C12" s="12">
        <v>250371505025</v>
      </c>
      <c r="D12" s="17">
        <f t="shared" si="0"/>
        <v>250052</v>
      </c>
      <c r="E12" s="13" t="s">
        <v>315</v>
      </c>
      <c r="F12" s="14" t="s">
        <v>23</v>
      </c>
      <c r="G12" s="15" t="s">
        <v>15</v>
      </c>
      <c r="H12" s="15" t="s">
        <v>85</v>
      </c>
      <c r="I12" s="3" t="s">
        <v>4</v>
      </c>
      <c r="J12" s="16" t="s">
        <v>6</v>
      </c>
      <c r="K12" s="16" t="s">
        <v>5</v>
      </c>
      <c r="L12" s="16" t="s">
        <v>2</v>
      </c>
      <c r="M12" s="16" t="s">
        <v>2</v>
      </c>
      <c r="N12" s="16" t="s">
        <v>2</v>
      </c>
      <c r="O12" s="11" t="s">
        <v>17</v>
      </c>
      <c r="P12" s="4">
        <v>7.333333333333333</v>
      </c>
    </row>
    <row r="13" spans="1:16" s="5" customFormat="1" ht="42" customHeight="1">
      <c r="A13" s="2">
        <v>11</v>
      </c>
      <c r="B13" s="12">
        <v>2544640081</v>
      </c>
      <c r="C13" s="12">
        <v>250371505027</v>
      </c>
      <c r="D13" s="17">
        <f t="shared" si="0"/>
        <v>250053</v>
      </c>
      <c r="E13" s="13" t="s">
        <v>316</v>
      </c>
      <c r="F13" s="14" t="s">
        <v>23</v>
      </c>
      <c r="G13" s="15" t="s">
        <v>15</v>
      </c>
      <c r="H13" s="15" t="s">
        <v>85</v>
      </c>
      <c r="I13" s="3" t="s">
        <v>2</v>
      </c>
      <c r="J13" s="16" t="s">
        <v>5</v>
      </c>
      <c r="K13" s="16" t="s">
        <v>4</v>
      </c>
      <c r="L13" s="16" t="s">
        <v>2</v>
      </c>
      <c r="M13" s="16" t="s">
        <v>2</v>
      </c>
      <c r="N13" s="16" t="s">
        <v>3</v>
      </c>
      <c r="O13" s="11" t="s">
        <v>17</v>
      </c>
      <c r="P13" s="4">
        <v>8</v>
      </c>
    </row>
    <row r="14" spans="1:16" s="5" customFormat="1" ht="42" customHeight="1">
      <c r="A14" s="2">
        <v>12</v>
      </c>
      <c r="B14" s="12">
        <v>2544640126</v>
      </c>
      <c r="C14" s="12">
        <v>250371505030</v>
      </c>
      <c r="D14" s="17">
        <f t="shared" si="0"/>
        <v>250054</v>
      </c>
      <c r="E14" s="13" t="s">
        <v>317</v>
      </c>
      <c r="F14" s="14" t="s">
        <v>23</v>
      </c>
      <c r="G14" s="15" t="s">
        <v>15</v>
      </c>
      <c r="H14" s="15" t="s">
        <v>85</v>
      </c>
      <c r="I14" s="3" t="s">
        <v>3</v>
      </c>
      <c r="J14" s="16" t="s">
        <v>6</v>
      </c>
      <c r="K14" s="16" t="s">
        <v>5</v>
      </c>
      <c r="L14" s="16" t="s">
        <v>3</v>
      </c>
      <c r="M14" s="16" t="s">
        <v>3</v>
      </c>
      <c r="N14" s="16" t="s">
        <v>3</v>
      </c>
      <c r="O14" s="11" t="s">
        <v>17</v>
      </c>
      <c r="P14" s="4">
        <v>7.0555555555555554</v>
      </c>
    </row>
    <row r="15" spans="1:16" s="5" customFormat="1" ht="42" customHeight="1">
      <c r="A15" s="2">
        <v>13</v>
      </c>
      <c r="B15" s="12">
        <v>2544640005</v>
      </c>
      <c r="C15" s="12">
        <v>250371505035</v>
      </c>
      <c r="D15" s="17">
        <f t="shared" si="0"/>
        <v>250055</v>
      </c>
      <c r="E15" s="13" t="s">
        <v>318</v>
      </c>
      <c r="F15" s="14" t="s">
        <v>23</v>
      </c>
      <c r="G15" s="15" t="s">
        <v>15</v>
      </c>
      <c r="H15" s="15" t="s">
        <v>85</v>
      </c>
      <c r="I15" s="3" t="s">
        <v>4</v>
      </c>
      <c r="J15" s="16" t="s">
        <v>6</v>
      </c>
      <c r="K15" s="16" t="s">
        <v>6</v>
      </c>
      <c r="L15" s="16" t="s">
        <v>3</v>
      </c>
      <c r="M15" s="16" t="s">
        <v>4</v>
      </c>
      <c r="N15" s="16" t="s">
        <v>8</v>
      </c>
      <c r="O15" s="11" t="s">
        <v>17</v>
      </c>
      <c r="P15" s="4">
        <v>6.6111111111111107</v>
      </c>
    </row>
    <row r="16" spans="1:16" s="5" customFormat="1" ht="42" customHeight="1">
      <c r="A16" s="2">
        <v>14</v>
      </c>
      <c r="B16" s="12">
        <v>2544640847</v>
      </c>
      <c r="C16" s="12">
        <v>250371505038</v>
      </c>
      <c r="D16" s="17">
        <f t="shared" si="0"/>
        <v>250056</v>
      </c>
      <c r="E16" s="13" t="s">
        <v>319</v>
      </c>
      <c r="F16" s="14" t="s">
        <v>23</v>
      </c>
      <c r="G16" s="15" t="s">
        <v>15</v>
      </c>
      <c r="H16" s="15" t="s">
        <v>85</v>
      </c>
      <c r="I16" s="3" t="s">
        <v>3</v>
      </c>
      <c r="J16" s="16" t="s">
        <v>5</v>
      </c>
      <c r="K16" s="16" t="s">
        <v>6</v>
      </c>
      <c r="L16" s="16" t="s">
        <v>2</v>
      </c>
      <c r="M16" s="16" t="s">
        <v>4</v>
      </c>
      <c r="N16" s="16" t="s">
        <v>2</v>
      </c>
      <c r="O16" s="11" t="s">
        <v>17</v>
      </c>
      <c r="P16" s="4">
        <v>7.1111111111111107</v>
      </c>
    </row>
    <row r="17" spans="1:16" s="5" customFormat="1" ht="42" customHeight="1">
      <c r="A17" s="2">
        <v>15</v>
      </c>
      <c r="B17" s="12">
        <v>2544640699</v>
      </c>
      <c r="C17" s="12">
        <v>250371505039</v>
      </c>
      <c r="D17" s="17">
        <f t="shared" si="0"/>
        <v>250057</v>
      </c>
      <c r="E17" s="13" t="s">
        <v>320</v>
      </c>
      <c r="F17" s="14" t="s">
        <v>23</v>
      </c>
      <c r="G17" s="15" t="s">
        <v>15</v>
      </c>
      <c r="H17" s="15" t="s">
        <v>85</v>
      </c>
      <c r="I17" s="3" t="s">
        <v>3</v>
      </c>
      <c r="J17" s="16" t="s">
        <v>3</v>
      </c>
      <c r="K17" s="16" t="s">
        <v>4</v>
      </c>
      <c r="L17" s="16" t="s">
        <v>3</v>
      </c>
      <c r="M17" s="16" t="s">
        <v>4</v>
      </c>
      <c r="N17" s="16" t="s">
        <v>8</v>
      </c>
      <c r="O17" s="11" t="s">
        <v>17</v>
      </c>
      <c r="P17" s="4">
        <v>7.7222222222222223</v>
      </c>
    </row>
    <row r="18" spans="1:16" s="5" customFormat="1" ht="42" customHeight="1">
      <c r="A18" s="2">
        <v>16</v>
      </c>
      <c r="B18" s="12">
        <v>2544641066</v>
      </c>
      <c r="C18" s="12">
        <v>250371505040</v>
      </c>
      <c r="D18" s="17">
        <f t="shared" si="0"/>
        <v>250058</v>
      </c>
      <c r="E18" s="13" t="s">
        <v>321</v>
      </c>
      <c r="F18" s="14" t="s">
        <v>23</v>
      </c>
      <c r="G18" s="15" t="s">
        <v>15</v>
      </c>
      <c r="H18" s="15" t="s">
        <v>85</v>
      </c>
      <c r="I18" s="3" t="s">
        <v>3</v>
      </c>
      <c r="J18" s="16" t="s">
        <v>4</v>
      </c>
      <c r="K18" s="16" t="s">
        <v>6</v>
      </c>
      <c r="L18" s="16" t="s">
        <v>3</v>
      </c>
      <c r="M18" s="16" t="s">
        <v>4</v>
      </c>
      <c r="N18" s="16" t="s">
        <v>3</v>
      </c>
      <c r="O18" s="11" t="s">
        <v>17</v>
      </c>
      <c r="P18" s="4">
        <v>7</v>
      </c>
    </row>
    <row r="19" spans="1:16" s="5" customFormat="1" ht="42" customHeight="1">
      <c r="A19" s="2">
        <v>17</v>
      </c>
      <c r="B19" s="12">
        <v>2544641103</v>
      </c>
      <c r="C19" s="12">
        <v>250371505042</v>
      </c>
      <c r="D19" s="17">
        <f t="shared" si="0"/>
        <v>250059</v>
      </c>
      <c r="E19" s="13" t="s">
        <v>322</v>
      </c>
      <c r="F19" s="14" t="s">
        <v>23</v>
      </c>
      <c r="G19" s="15" t="s">
        <v>15</v>
      </c>
      <c r="H19" s="15" t="s">
        <v>85</v>
      </c>
      <c r="I19" s="3" t="s">
        <v>3</v>
      </c>
      <c r="J19" s="16" t="s">
        <v>4</v>
      </c>
      <c r="K19" s="16" t="s">
        <v>11</v>
      </c>
      <c r="L19" s="16" t="s">
        <v>2</v>
      </c>
      <c r="M19" s="16" t="s">
        <v>3</v>
      </c>
      <c r="N19" s="16" t="s">
        <v>3</v>
      </c>
      <c r="O19" s="11" t="s">
        <v>17</v>
      </c>
      <c r="P19" s="4">
        <v>7.166666666666667</v>
      </c>
    </row>
    <row r="20" spans="1:16" s="5" customFormat="1" ht="42" customHeight="1">
      <c r="A20" s="2">
        <v>18</v>
      </c>
      <c r="B20" s="12">
        <v>2544640502</v>
      </c>
      <c r="C20" s="12">
        <v>250371505045</v>
      </c>
      <c r="D20" s="17">
        <f t="shared" si="0"/>
        <v>250060</v>
      </c>
      <c r="E20" s="13" t="s">
        <v>323</v>
      </c>
      <c r="F20" s="14" t="s">
        <v>23</v>
      </c>
      <c r="G20" s="15" t="s">
        <v>15</v>
      </c>
      <c r="H20" s="15" t="s">
        <v>85</v>
      </c>
      <c r="I20" s="3" t="s">
        <v>3</v>
      </c>
      <c r="J20" s="16" t="s">
        <v>2</v>
      </c>
      <c r="K20" s="16" t="s">
        <v>6</v>
      </c>
      <c r="L20" s="16" t="s">
        <v>2</v>
      </c>
      <c r="M20" s="16" t="s">
        <v>3</v>
      </c>
      <c r="N20" s="16" t="s">
        <v>2</v>
      </c>
      <c r="O20" s="11" t="s">
        <v>17</v>
      </c>
      <c r="P20" s="4">
        <v>7.7777777777777777</v>
      </c>
    </row>
    <row r="21" spans="1:16" s="5" customFormat="1" ht="42" customHeight="1">
      <c r="A21" s="2">
        <v>19</v>
      </c>
      <c r="B21" s="12">
        <v>2544640083</v>
      </c>
      <c r="C21" s="12">
        <v>250371505047</v>
      </c>
      <c r="D21" s="17">
        <f t="shared" si="0"/>
        <v>250061</v>
      </c>
      <c r="E21" s="13" t="s">
        <v>324</v>
      </c>
      <c r="F21" s="14" t="s">
        <v>23</v>
      </c>
      <c r="G21" s="15" t="s">
        <v>15</v>
      </c>
      <c r="H21" s="15" t="s">
        <v>85</v>
      </c>
      <c r="I21" s="3" t="s">
        <v>2</v>
      </c>
      <c r="J21" s="16" t="s">
        <v>4</v>
      </c>
      <c r="K21" s="16" t="s">
        <v>4</v>
      </c>
      <c r="L21" s="16" t="s">
        <v>2</v>
      </c>
      <c r="M21" s="16" t="s">
        <v>2</v>
      </c>
      <c r="N21" s="16" t="s">
        <v>8</v>
      </c>
      <c r="O21" s="11" t="s">
        <v>17</v>
      </c>
      <c r="P21" s="4">
        <v>8.2777777777777786</v>
      </c>
    </row>
    <row r="22" spans="1:16" s="5" customFormat="1" ht="42" customHeight="1">
      <c r="A22" s="2">
        <v>20</v>
      </c>
      <c r="B22" s="12">
        <v>2544640106</v>
      </c>
      <c r="C22" s="12">
        <v>250371505048</v>
      </c>
      <c r="D22" s="17">
        <f t="shared" si="0"/>
        <v>250062</v>
      </c>
      <c r="E22" s="13" t="s">
        <v>325</v>
      </c>
      <c r="F22" s="14" t="s">
        <v>23</v>
      </c>
      <c r="G22" s="15" t="s">
        <v>15</v>
      </c>
      <c r="H22" s="15" t="s">
        <v>85</v>
      </c>
      <c r="I22" s="3" t="s">
        <v>3</v>
      </c>
      <c r="J22" s="16" t="s">
        <v>5</v>
      </c>
      <c r="K22" s="16" t="s">
        <v>5</v>
      </c>
      <c r="L22" s="16" t="s">
        <v>8</v>
      </c>
      <c r="M22" s="16" t="s">
        <v>8</v>
      </c>
      <c r="N22" s="16" t="s">
        <v>2</v>
      </c>
      <c r="O22" s="11" t="s">
        <v>17</v>
      </c>
      <c r="P22" s="4">
        <v>8.0555555555555554</v>
      </c>
    </row>
    <row r="23" spans="1:16" s="5" customFormat="1" ht="42" customHeight="1">
      <c r="A23" s="2">
        <v>21</v>
      </c>
      <c r="B23" s="12">
        <v>2544640010</v>
      </c>
      <c r="C23" s="12">
        <v>250371505054</v>
      </c>
      <c r="D23" s="17">
        <f t="shared" si="0"/>
        <v>250063</v>
      </c>
      <c r="E23" s="13" t="s">
        <v>326</v>
      </c>
      <c r="F23" s="14" t="s">
        <v>23</v>
      </c>
      <c r="G23" s="15" t="s">
        <v>15</v>
      </c>
      <c r="H23" s="15" t="s">
        <v>85</v>
      </c>
      <c r="I23" s="3" t="s">
        <v>3</v>
      </c>
      <c r="J23" s="16" t="s">
        <v>8</v>
      </c>
      <c r="K23" s="16" t="s">
        <v>2</v>
      </c>
      <c r="L23" s="16" t="s">
        <v>8</v>
      </c>
      <c r="M23" s="16" t="s">
        <v>8</v>
      </c>
      <c r="N23" s="16" t="s">
        <v>8</v>
      </c>
      <c r="O23" s="11" t="s">
        <v>17</v>
      </c>
      <c r="P23" s="4">
        <v>9.4444444444444446</v>
      </c>
    </row>
    <row r="24" spans="1:16" s="5" customFormat="1" ht="42" customHeight="1">
      <c r="A24" s="2">
        <v>22</v>
      </c>
      <c r="B24" s="12">
        <v>2544640139</v>
      </c>
      <c r="C24" s="12">
        <v>250371505055</v>
      </c>
      <c r="D24" s="17">
        <f t="shared" si="0"/>
        <v>250064</v>
      </c>
      <c r="E24" s="13" t="s">
        <v>327</v>
      </c>
      <c r="F24" s="14" t="s">
        <v>23</v>
      </c>
      <c r="G24" s="15" t="s">
        <v>15</v>
      </c>
      <c r="H24" s="15" t="s">
        <v>85</v>
      </c>
      <c r="I24" s="3" t="s">
        <v>3</v>
      </c>
      <c r="J24" s="16" t="s">
        <v>5</v>
      </c>
      <c r="K24" s="16" t="s">
        <v>4</v>
      </c>
      <c r="L24" s="16" t="s">
        <v>2</v>
      </c>
      <c r="M24" s="16" t="s">
        <v>8</v>
      </c>
      <c r="N24" s="16" t="s">
        <v>3</v>
      </c>
      <c r="O24" s="11" t="s">
        <v>17</v>
      </c>
      <c r="P24" s="4">
        <v>8</v>
      </c>
    </row>
    <row r="25" spans="1:16" s="5" customFormat="1" ht="42" customHeight="1">
      <c r="A25" s="2">
        <v>23</v>
      </c>
      <c r="B25" s="12">
        <v>2544640244</v>
      </c>
      <c r="C25" s="12">
        <v>250371505056</v>
      </c>
      <c r="D25" s="17">
        <f t="shared" si="0"/>
        <v>250065</v>
      </c>
      <c r="E25" s="13" t="s">
        <v>328</v>
      </c>
      <c r="F25" s="14" t="s">
        <v>23</v>
      </c>
      <c r="G25" s="15" t="s">
        <v>15</v>
      </c>
      <c r="H25" s="15" t="s">
        <v>85</v>
      </c>
      <c r="I25" s="3" t="s">
        <v>2</v>
      </c>
      <c r="J25" s="16" t="s">
        <v>2</v>
      </c>
      <c r="K25" s="16" t="s">
        <v>2</v>
      </c>
      <c r="L25" s="16" t="s">
        <v>8</v>
      </c>
      <c r="M25" s="16" t="s">
        <v>8</v>
      </c>
      <c r="N25" s="16" t="s">
        <v>2</v>
      </c>
      <c r="O25" s="11" t="s">
        <v>17</v>
      </c>
      <c r="P25" s="4">
        <v>9.3888888888888893</v>
      </c>
    </row>
    <row r="26" spans="1:16" s="5" customFormat="1" ht="42" customHeight="1">
      <c r="A26" s="2">
        <v>24</v>
      </c>
      <c r="B26" s="12">
        <v>2544640441</v>
      </c>
      <c r="C26" s="12">
        <v>250371505059</v>
      </c>
      <c r="D26" s="17">
        <f t="shared" si="0"/>
        <v>250066</v>
      </c>
      <c r="E26" s="13" t="s">
        <v>329</v>
      </c>
      <c r="F26" s="14" t="s">
        <v>23</v>
      </c>
      <c r="G26" s="15" t="s">
        <v>15</v>
      </c>
      <c r="H26" s="15" t="s">
        <v>85</v>
      </c>
      <c r="I26" s="3" t="s">
        <v>4</v>
      </c>
      <c r="J26" s="16" t="s">
        <v>4</v>
      </c>
      <c r="K26" s="16" t="s">
        <v>4</v>
      </c>
      <c r="L26" s="16" t="s">
        <v>8</v>
      </c>
      <c r="M26" s="16" t="s">
        <v>8</v>
      </c>
      <c r="N26" s="16" t="s">
        <v>2</v>
      </c>
      <c r="O26" s="11" t="s">
        <v>17</v>
      </c>
      <c r="P26" s="4">
        <v>8.2777777777777786</v>
      </c>
    </row>
    <row r="27" spans="1:16" s="5" customFormat="1" ht="42" customHeight="1">
      <c r="A27" s="2">
        <v>25</v>
      </c>
      <c r="B27" s="12">
        <v>2544640092</v>
      </c>
      <c r="C27" s="12">
        <v>250371505060</v>
      </c>
      <c r="D27" s="17">
        <f t="shared" si="0"/>
        <v>250067</v>
      </c>
      <c r="E27" s="13" t="s">
        <v>330</v>
      </c>
      <c r="F27" s="14" t="s">
        <v>23</v>
      </c>
      <c r="G27" s="15" t="s">
        <v>15</v>
      </c>
      <c r="H27" s="15" t="s">
        <v>85</v>
      </c>
      <c r="I27" s="3" t="s">
        <v>5</v>
      </c>
      <c r="J27" s="16" t="s">
        <v>6</v>
      </c>
      <c r="K27" s="16" t="s">
        <v>11</v>
      </c>
      <c r="L27" s="16" t="s">
        <v>3</v>
      </c>
      <c r="M27" s="16" t="s">
        <v>3</v>
      </c>
      <c r="N27" s="16" t="s">
        <v>2</v>
      </c>
      <c r="O27" s="11" t="s">
        <v>17</v>
      </c>
      <c r="P27" s="4">
        <v>6.333333333333333</v>
      </c>
    </row>
    <row r="28" spans="1:16" s="5" customFormat="1" ht="42" customHeight="1">
      <c r="A28" s="2">
        <v>26</v>
      </c>
      <c r="B28" s="12">
        <v>2544640125</v>
      </c>
      <c r="C28" s="12">
        <v>250371505062</v>
      </c>
      <c r="D28" s="17">
        <f t="shared" si="0"/>
        <v>250068</v>
      </c>
      <c r="E28" s="13" t="s">
        <v>331</v>
      </c>
      <c r="F28" s="14" t="s">
        <v>23</v>
      </c>
      <c r="G28" s="15" t="s">
        <v>15</v>
      </c>
      <c r="H28" s="15" t="s">
        <v>85</v>
      </c>
      <c r="I28" s="3" t="s">
        <v>3</v>
      </c>
      <c r="J28" s="16" t="s">
        <v>4</v>
      </c>
      <c r="K28" s="16" t="s">
        <v>4</v>
      </c>
      <c r="L28" s="16" t="s">
        <v>8</v>
      </c>
      <c r="M28" s="16" t="s">
        <v>2</v>
      </c>
      <c r="N28" s="16" t="s">
        <v>3</v>
      </c>
      <c r="O28" s="11" t="s">
        <v>17</v>
      </c>
      <c r="P28" s="4">
        <v>8.2222222222222214</v>
      </c>
    </row>
    <row r="29" spans="1:16" s="5" customFormat="1" ht="42" customHeight="1">
      <c r="A29" s="2">
        <v>27</v>
      </c>
      <c r="B29" s="12">
        <v>2544640064</v>
      </c>
      <c r="C29" s="12">
        <v>250371505068</v>
      </c>
      <c r="D29" s="17">
        <f t="shared" si="0"/>
        <v>250069</v>
      </c>
      <c r="E29" s="13" t="s">
        <v>332</v>
      </c>
      <c r="F29" s="14" t="s">
        <v>23</v>
      </c>
      <c r="G29" s="15" t="s">
        <v>15</v>
      </c>
      <c r="H29" s="15" t="s">
        <v>85</v>
      </c>
      <c r="I29" s="3" t="s">
        <v>2</v>
      </c>
      <c r="J29" s="16" t="s">
        <v>4</v>
      </c>
      <c r="K29" s="16" t="s">
        <v>4</v>
      </c>
      <c r="L29" s="16" t="s">
        <v>8</v>
      </c>
      <c r="M29" s="16" t="s">
        <v>8</v>
      </c>
      <c r="N29" s="16" t="s">
        <v>8</v>
      </c>
      <c r="O29" s="11" t="s">
        <v>17</v>
      </c>
      <c r="P29" s="4">
        <v>8.6666666666666661</v>
      </c>
    </row>
  </sheetData>
  <autoFilter ref="A1:P29">
    <filterColumn colId="3"/>
    <filterColumn colId="7"/>
    <filterColumn colId="11"/>
    <filterColumn colId="12"/>
    <filterColumn colId="13"/>
    <filterColumn colId="14"/>
  </autoFilter>
  <mergeCells count="8">
    <mergeCell ref="G1:G2"/>
    <mergeCell ref="H1:H2"/>
    <mergeCell ref="P1:P2"/>
    <mergeCell ref="A1:A2"/>
    <mergeCell ref="B1:B2"/>
    <mergeCell ref="C1:C2"/>
    <mergeCell ref="E1:E2"/>
    <mergeCell ref="F1:F2"/>
  </mergeCells>
  <printOptions horizontalCentered="1"/>
  <pageMargins left="0.4" right="0.32" top="0.53" bottom="0.59" header="0.3" footer="0.3"/>
  <pageSetup paperSize="8" scale="8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G43"/>
  <sheetViews>
    <sheetView zoomScale="85" zoomScaleNormal="85" workbookViewId="0">
      <selection activeCell="L39" sqref="L39"/>
    </sheetView>
  </sheetViews>
  <sheetFormatPr defaultRowHeight="15"/>
  <cols>
    <col min="1" max="1" width="10.28515625" style="6" bestFit="1" customWidth="1"/>
    <col min="2" max="2" width="18.5703125" style="6" bestFit="1" customWidth="1"/>
    <col min="3" max="3" width="20.140625" style="6" customWidth="1"/>
    <col min="4" max="4" width="14" style="6" bestFit="1" customWidth="1"/>
    <col min="5" max="5" width="34.85546875" style="6" bestFit="1" customWidth="1"/>
    <col min="6" max="6" width="12.5703125" style="32" bestFit="1" customWidth="1"/>
    <col min="7" max="7" width="14" style="32" bestFit="1" customWidth="1"/>
    <col min="8" max="8" width="16.85546875" style="6" bestFit="1" customWidth="1"/>
    <col min="9" max="9" width="14" style="6" bestFit="1" customWidth="1"/>
    <col min="10" max="11" width="14.140625" style="6" bestFit="1" customWidth="1"/>
    <col min="12" max="12" width="14.85546875" style="6" bestFit="1" customWidth="1"/>
    <col min="13" max="14" width="14.85546875" style="6" customWidth="1"/>
    <col min="15" max="15" width="22.7109375" style="6" bestFit="1" customWidth="1"/>
    <col min="16" max="17" width="10.28515625" style="6" customWidth="1"/>
    <col min="18" max="18" width="21.5703125" style="6" bestFit="1" customWidth="1"/>
    <col min="19" max="20" width="11.140625" style="6" customWidth="1"/>
    <col min="21" max="21" width="26.7109375" style="6" bestFit="1" customWidth="1"/>
    <col min="22" max="23" width="11.140625" style="6" customWidth="1"/>
    <col min="24" max="24" width="28.140625" style="6" bestFit="1" customWidth="1"/>
    <col min="25" max="28" width="11.140625" style="6" customWidth="1"/>
    <col min="29" max="29" width="14.140625" style="6" bestFit="1" customWidth="1"/>
    <col min="30" max="30" width="11.7109375" style="7" bestFit="1" customWidth="1"/>
    <col min="31" max="31" width="9.140625" style="6"/>
    <col min="32" max="32" width="6" style="6" bestFit="1" customWidth="1"/>
    <col min="33" max="33" width="3.28515625" style="6" bestFit="1" customWidth="1"/>
    <col min="34" max="16384" width="9.140625" style="6"/>
  </cols>
  <sheetData>
    <row r="1" spans="1:33" s="8" customFormat="1" ht="94.5" customHeight="1">
      <c r="A1" s="36" t="s">
        <v>1</v>
      </c>
      <c r="B1" s="36" t="s">
        <v>16</v>
      </c>
      <c r="C1" s="36" t="s">
        <v>12</v>
      </c>
      <c r="D1" s="36" t="s">
        <v>1520</v>
      </c>
      <c r="E1" s="36" t="s">
        <v>13</v>
      </c>
      <c r="F1" s="36" t="s">
        <v>14</v>
      </c>
      <c r="G1" s="36" t="s">
        <v>0</v>
      </c>
      <c r="H1" s="36" t="s">
        <v>31</v>
      </c>
      <c r="I1" s="1" t="s">
        <v>1523</v>
      </c>
      <c r="J1" s="1" t="s">
        <v>1530</v>
      </c>
      <c r="K1" s="1" t="s">
        <v>1521</v>
      </c>
      <c r="L1" s="1" t="s">
        <v>1524</v>
      </c>
      <c r="M1" s="1" t="s">
        <v>1530</v>
      </c>
      <c r="N1" s="1" t="s">
        <v>1521</v>
      </c>
      <c r="O1" s="1" t="s">
        <v>1525</v>
      </c>
      <c r="P1" s="1" t="s">
        <v>1530</v>
      </c>
      <c r="Q1" s="1" t="s">
        <v>1521</v>
      </c>
      <c r="R1" s="1" t="s">
        <v>1526</v>
      </c>
      <c r="S1" s="1" t="s">
        <v>1530</v>
      </c>
      <c r="T1" s="1" t="s">
        <v>1521</v>
      </c>
      <c r="U1" s="1" t="s">
        <v>1527</v>
      </c>
      <c r="V1" s="1" t="s">
        <v>1530</v>
      </c>
      <c r="W1" s="1" t="s">
        <v>1521</v>
      </c>
      <c r="X1" s="1" t="s">
        <v>1528</v>
      </c>
      <c r="Y1" s="1" t="s">
        <v>1530</v>
      </c>
      <c r="Z1" s="1" t="s">
        <v>1521</v>
      </c>
      <c r="AA1" s="1" t="s">
        <v>1531</v>
      </c>
      <c r="AB1" s="1" t="s">
        <v>1531</v>
      </c>
      <c r="AC1" s="1" t="s">
        <v>1529</v>
      </c>
      <c r="AD1" s="37" t="s">
        <v>9</v>
      </c>
    </row>
    <row r="2" spans="1:33" s="5" customFormat="1" ht="42" customHeight="1">
      <c r="A2" s="2">
        <v>1</v>
      </c>
      <c r="B2" s="12">
        <v>2544640526</v>
      </c>
      <c r="C2" s="12">
        <v>250371505002</v>
      </c>
      <c r="D2" s="17">
        <v>250001</v>
      </c>
      <c r="E2" s="13" t="s">
        <v>261</v>
      </c>
      <c r="F2" s="12" t="s">
        <v>23</v>
      </c>
      <c r="G2" s="19" t="s">
        <v>15</v>
      </c>
      <c r="H2" s="19" t="s">
        <v>34</v>
      </c>
      <c r="I2" s="16" t="s">
        <v>3</v>
      </c>
      <c r="J2" s="16">
        <f t="shared" ref="J2:J43" si="0">VLOOKUP(I2,AF:AG,2,0)</f>
        <v>8</v>
      </c>
      <c r="K2" s="16">
        <f>3*J2</f>
        <v>24</v>
      </c>
      <c r="L2" s="16" t="s">
        <v>8</v>
      </c>
      <c r="M2" s="16">
        <f>VLOOKUP(L2,AF:AG,2,0)</f>
        <v>10</v>
      </c>
      <c r="N2" s="16">
        <f>3*M2</f>
        <v>30</v>
      </c>
      <c r="O2" s="16" t="s">
        <v>2</v>
      </c>
      <c r="P2" s="16">
        <f>VLOOKUP(O2,AF:AG,2,0)</f>
        <v>9</v>
      </c>
      <c r="Q2" s="16">
        <f>4*P2</f>
        <v>36</v>
      </c>
      <c r="R2" s="16" t="s">
        <v>2</v>
      </c>
      <c r="S2" s="16">
        <f>VLOOKUP(R2,AF:AG,2,0)</f>
        <v>9</v>
      </c>
      <c r="T2" s="16">
        <f>4*S2</f>
        <v>36</v>
      </c>
      <c r="U2" s="16" t="s">
        <v>2</v>
      </c>
      <c r="V2" s="16">
        <f>VLOOKUP(U2,AF:AG,2,0)</f>
        <v>9</v>
      </c>
      <c r="W2" s="16">
        <f>3*V2</f>
        <v>27</v>
      </c>
      <c r="X2" s="16" t="s">
        <v>8</v>
      </c>
      <c r="Y2" s="16">
        <f>VLOOKUP(X2,AF:AG,2,0)</f>
        <v>10</v>
      </c>
      <c r="Z2" s="16">
        <f>1*Y2</f>
        <v>10</v>
      </c>
      <c r="AA2" s="16">
        <f>J2+M2+P2+S2+V2+Y2</f>
        <v>55</v>
      </c>
      <c r="AB2" s="16">
        <f>K2+N2+Q2+T2+W2+Z2</f>
        <v>163</v>
      </c>
      <c r="AC2" s="11" t="s">
        <v>17</v>
      </c>
      <c r="AD2" s="4">
        <v>9.0555555555555554</v>
      </c>
      <c r="AF2" s="5" t="s">
        <v>8</v>
      </c>
      <c r="AG2" s="5">
        <v>10</v>
      </c>
    </row>
    <row r="3" spans="1:33" s="5" customFormat="1" ht="42" customHeight="1">
      <c r="A3" s="2">
        <v>2</v>
      </c>
      <c r="B3" s="12">
        <v>2544640068</v>
      </c>
      <c r="C3" s="12">
        <v>250371505004</v>
      </c>
      <c r="D3" s="17">
        <f>D2+1</f>
        <v>250002</v>
      </c>
      <c r="E3" s="13" t="s">
        <v>262</v>
      </c>
      <c r="F3" s="12" t="s">
        <v>23</v>
      </c>
      <c r="G3" s="19" t="s">
        <v>15</v>
      </c>
      <c r="H3" s="19" t="s">
        <v>34</v>
      </c>
      <c r="I3" s="16" t="s">
        <v>3</v>
      </c>
      <c r="J3" s="16">
        <f t="shared" si="0"/>
        <v>8</v>
      </c>
      <c r="K3" s="16">
        <f t="shared" ref="K3:K43" si="1">3*J3</f>
        <v>24</v>
      </c>
      <c r="L3" s="16" t="s">
        <v>8</v>
      </c>
      <c r="M3" s="16">
        <f t="shared" ref="M3:M43" si="2">VLOOKUP(L3,AF:AG,2,0)</f>
        <v>10</v>
      </c>
      <c r="N3" s="16">
        <f t="shared" ref="N3:N43" si="3">3*M3</f>
        <v>30</v>
      </c>
      <c r="O3" s="16" t="s">
        <v>3</v>
      </c>
      <c r="P3" s="16">
        <f t="shared" ref="P3:P43" si="4">VLOOKUP(O3,AF:AG,2,0)</f>
        <v>8</v>
      </c>
      <c r="Q3" s="16">
        <f t="shared" ref="Q3:Q43" si="5">4*P3</f>
        <v>32</v>
      </c>
      <c r="R3" s="16" t="s">
        <v>2</v>
      </c>
      <c r="S3" s="16">
        <f t="shared" ref="S3:S43" si="6">VLOOKUP(R3,AF:AG,2,0)</f>
        <v>9</v>
      </c>
      <c r="T3" s="16">
        <f t="shared" ref="T3:T43" si="7">4*S3</f>
        <v>36</v>
      </c>
      <c r="U3" s="16" t="s">
        <v>2</v>
      </c>
      <c r="V3" s="16">
        <f t="shared" ref="V3:V43" si="8">VLOOKUP(U3,AF:AG,2,0)</f>
        <v>9</v>
      </c>
      <c r="W3" s="16">
        <f t="shared" ref="W3:W43" si="9">3*V3</f>
        <v>27</v>
      </c>
      <c r="X3" s="16" t="s">
        <v>2</v>
      </c>
      <c r="Y3" s="16">
        <f t="shared" ref="Y3:Y43" si="10">VLOOKUP(X3,AF:AG,2,0)</f>
        <v>9</v>
      </c>
      <c r="Z3" s="16">
        <f t="shared" ref="Z3:Z43" si="11">1*Y3</f>
        <v>9</v>
      </c>
      <c r="AA3" s="16">
        <f t="shared" ref="AA3:AB43" si="12">J3+M3+P3+S3+V3+Y3</f>
        <v>53</v>
      </c>
      <c r="AB3" s="16">
        <f t="shared" si="12"/>
        <v>158</v>
      </c>
      <c r="AC3" s="11" t="s">
        <v>17</v>
      </c>
      <c r="AD3" s="4">
        <v>8.7777777777777786</v>
      </c>
      <c r="AF3" s="5" t="s">
        <v>2</v>
      </c>
      <c r="AG3" s="5">
        <v>9</v>
      </c>
    </row>
    <row r="4" spans="1:33" s="5" customFormat="1" ht="42" customHeight="1">
      <c r="A4" s="2">
        <v>3</v>
      </c>
      <c r="B4" s="12">
        <v>2544640026</v>
      </c>
      <c r="C4" s="12">
        <v>250371505005</v>
      </c>
      <c r="D4" s="17">
        <f t="shared" ref="D4:D43" si="13">D3+1</f>
        <v>250003</v>
      </c>
      <c r="E4" s="13" t="s">
        <v>263</v>
      </c>
      <c r="F4" s="12" t="s">
        <v>23</v>
      </c>
      <c r="G4" s="19" t="s">
        <v>15</v>
      </c>
      <c r="H4" s="19" t="s">
        <v>34</v>
      </c>
      <c r="I4" s="16" t="s">
        <v>3</v>
      </c>
      <c r="J4" s="16">
        <f t="shared" si="0"/>
        <v>8</v>
      </c>
      <c r="K4" s="16">
        <f t="shared" si="1"/>
        <v>24</v>
      </c>
      <c r="L4" s="16" t="s">
        <v>6</v>
      </c>
      <c r="M4" s="16">
        <f t="shared" si="2"/>
        <v>5</v>
      </c>
      <c r="N4" s="16">
        <f t="shared" si="3"/>
        <v>15</v>
      </c>
      <c r="O4" s="16" t="s">
        <v>6</v>
      </c>
      <c r="P4" s="16">
        <f t="shared" si="4"/>
        <v>5</v>
      </c>
      <c r="Q4" s="16">
        <f t="shared" si="5"/>
        <v>20</v>
      </c>
      <c r="R4" s="16" t="s">
        <v>3</v>
      </c>
      <c r="S4" s="16">
        <f t="shared" si="6"/>
        <v>8</v>
      </c>
      <c r="T4" s="16">
        <f t="shared" si="7"/>
        <v>32</v>
      </c>
      <c r="U4" s="16" t="s">
        <v>3</v>
      </c>
      <c r="V4" s="16">
        <f t="shared" si="8"/>
        <v>8</v>
      </c>
      <c r="W4" s="16">
        <f t="shared" si="9"/>
        <v>24</v>
      </c>
      <c r="X4" s="16" t="s">
        <v>2</v>
      </c>
      <c r="Y4" s="16">
        <f t="shared" si="10"/>
        <v>9</v>
      </c>
      <c r="Z4" s="16">
        <f t="shared" si="11"/>
        <v>9</v>
      </c>
      <c r="AA4" s="16">
        <f t="shared" si="12"/>
        <v>43</v>
      </c>
      <c r="AB4" s="16">
        <f t="shared" si="12"/>
        <v>124</v>
      </c>
      <c r="AC4" s="11" t="s">
        <v>17</v>
      </c>
      <c r="AD4" s="4">
        <v>6.8888888888888893</v>
      </c>
      <c r="AF4" s="5" t="s">
        <v>3</v>
      </c>
      <c r="AG4" s="5">
        <v>8</v>
      </c>
    </row>
    <row r="5" spans="1:33" s="5" customFormat="1" ht="42" customHeight="1">
      <c r="A5" s="2">
        <v>4</v>
      </c>
      <c r="B5" s="12">
        <v>2544641106</v>
      </c>
      <c r="C5" s="12">
        <v>250371505006</v>
      </c>
      <c r="D5" s="17">
        <f t="shared" si="13"/>
        <v>250004</v>
      </c>
      <c r="E5" s="13" t="s">
        <v>264</v>
      </c>
      <c r="F5" s="12" t="s">
        <v>23</v>
      </c>
      <c r="G5" s="19" t="s">
        <v>15</v>
      </c>
      <c r="H5" s="19" t="s">
        <v>34</v>
      </c>
      <c r="I5" s="16" t="s">
        <v>4</v>
      </c>
      <c r="J5" s="16">
        <f t="shared" si="0"/>
        <v>7</v>
      </c>
      <c r="K5" s="16">
        <f t="shared" si="1"/>
        <v>21</v>
      </c>
      <c r="L5" s="16" t="s">
        <v>11</v>
      </c>
      <c r="M5" s="16">
        <f t="shared" si="2"/>
        <v>4</v>
      </c>
      <c r="N5" s="16">
        <f t="shared" si="3"/>
        <v>12</v>
      </c>
      <c r="O5" s="16" t="s">
        <v>4</v>
      </c>
      <c r="P5" s="16">
        <f t="shared" si="4"/>
        <v>7</v>
      </c>
      <c r="Q5" s="16">
        <f t="shared" si="5"/>
        <v>28</v>
      </c>
      <c r="R5" s="16" t="s">
        <v>3</v>
      </c>
      <c r="S5" s="16">
        <f t="shared" si="6"/>
        <v>8</v>
      </c>
      <c r="T5" s="16">
        <f t="shared" si="7"/>
        <v>32</v>
      </c>
      <c r="U5" s="16" t="s">
        <v>3</v>
      </c>
      <c r="V5" s="16">
        <f t="shared" si="8"/>
        <v>8</v>
      </c>
      <c r="W5" s="16">
        <f t="shared" si="9"/>
        <v>24</v>
      </c>
      <c r="X5" s="16" t="s">
        <v>3</v>
      </c>
      <c r="Y5" s="16">
        <f t="shared" si="10"/>
        <v>8</v>
      </c>
      <c r="Z5" s="16">
        <f t="shared" si="11"/>
        <v>8</v>
      </c>
      <c r="AA5" s="16">
        <f t="shared" si="12"/>
        <v>42</v>
      </c>
      <c r="AB5" s="16">
        <f t="shared" si="12"/>
        <v>125</v>
      </c>
      <c r="AC5" s="11" t="s">
        <v>17</v>
      </c>
      <c r="AD5" s="4">
        <v>6.9444444444444446</v>
      </c>
      <c r="AF5" s="5" t="s">
        <v>4</v>
      </c>
      <c r="AG5" s="5">
        <v>7</v>
      </c>
    </row>
    <row r="6" spans="1:33" s="5" customFormat="1" ht="42" customHeight="1">
      <c r="A6" s="2">
        <v>5</v>
      </c>
      <c r="B6" s="12">
        <v>2544640105</v>
      </c>
      <c r="C6" s="12">
        <v>250371505008</v>
      </c>
      <c r="D6" s="17">
        <f t="shared" si="13"/>
        <v>250005</v>
      </c>
      <c r="E6" s="13" t="s">
        <v>265</v>
      </c>
      <c r="F6" s="12" t="s">
        <v>23</v>
      </c>
      <c r="G6" s="19" t="s">
        <v>15</v>
      </c>
      <c r="H6" s="19" t="s">
        <v>34</v>
      </c>
      <c r="I6" s="16" t="s">
        <v>3</v>
      </c>
      <c r="J6" s="16">
        <f t="shared" si="0"/>
        <v>8</v>
      </c>
      <c r="K6" s="16">
        <f t="shared" si="1"/>
        <v>24</v>
      </c>
      <c r="L6" s="16" t="s">
        <v>6</v>
      </c>
      <c r="M6" s="16">
        <f t="shared" si="2"/>
        <v>5</v>
      </c>
      <c r="N6" s="16">
        <f t="shared" si="3"/>
        <v>15</v>
      </c>
      <c r="O6" s="16" t="s">
        <v>5</v>
      </c>
      <c r="P6" s="16">
        <f t="shared" si="4"/>
        <v>6</v>
      </c>
      <c r="Q6" s="16">
        <f t="shared" si="5"/>
        <v>24</v>
      </c>
      <c r="R6" s="16" t="s">
        <v>3</v>
      </c>
      <c r="S6" s="16">
        <f t="shared" si="6"/>
        <v>8</v>
      </c>
      <c r="T6" s="16">
        <f t="shared" si="7"/>
        <v>32</v>
      </c>
      <c r="U6" s="16" t="s">
        <v>2</v>
      </c>
      <c r="V6" s="16">
        <f t="shared" si="8"/>
        <v>9</v>
      </c>
      <c r="W6" s="16">
        <f t="shared" si="9"/>
        <v>27</v>
      </c>
      <c r="X6" s="16" t="s">
        <v>1516</v>
      </c>
      <c r="Y6" s="16">
        <f t="shared" si="10"/>
        <v>0</v>
      </c>
      <c r="Z6" s="16">
        <f t="shared" si="11"/>
        <v>0</v>
      </c>
      <c r="AA6" s="16">
        <f t="shared" si="12"/>
        <v>36</v>
      </c>
      <c r="AB6" s="16">
        <f t="shared" si="12"/>
        <v>122</v>
      </c>
      <c r="AC6" s="11" t="s">
        <v>1516</v>
      </c>
      <c r="AD6" s="4">
        <v>0</v>
      </c>
      <c r="AF6" s="5" t="s">
        <v>5</v>
      </c>
      <c r="AG6" s="5">
        <v>6</v>
      </c>
    </row>
    <row r="7" spans="1:33" s="5" customFormat="1" ht="42" customHeight="1">
      <c r="A7" s="2">
        <v>6</v>
      </c>
      <c r="B7" s="12">
        <v>2544640153</v>
      </c>
      <c r="C7" s="12">
        <v>250371505012</v>
      </c>
      <c r="D7" s="17">
        <f t="shared" si="13"/>
        <v>250006</v>
      </c>
      <c r="E7" s="13" t="s">
        <v>266</v>
      </c>
      <c r="F7" s="12" t="s">
        <v>23</v>
      </c>
      <c r="G7" s="19" t="s">
        <v>15</v>
      </c>
      <c r="H7" s="19" t="s">
        <v>34</v>
      </c>
      <c r="I7" s="16" t="s">
        <v>3</v>
      </c>
      <c r="J7" s="16">
        <f t="shared" si="0"/>
        <v>8</v>
      </c>
      <c r="K7" s="16">
        <f t="shared" si="1"/>
        <v>24</v>
      </c>
      <c r="L7" s="16" t="s">
        <v>6</v>
      </c>
      <c r="M7" s="16">
        <f t="shared" si="2"/>
        <v>5</v>
      </c>
      <c r="N7" s="16">
        <f t="shared" si="3"/>
        <v>15</v>
      </c>
      <c r="O7" s="16" t="s">
        <v>3</v>
      </c>
      <c r="P7" s="16">
        <f t="shared" si="4"/>
        <v>8</v>
      </c>
      <c r="Q7" s="16">
        <f t="shared" si="5"/>
        <v>32</v>
      </c>
      <c r="R7" s="16" t="s">
        <v>2</v>
      </c>
      <c r="S7" s="16">
        <f t="shared" si="6"/>
        <v>9</v>
      </c>
      <c r="T7" s="16">
        <f t="shared" si="7"/>
        <v>36</v>
      </c>
      <c r="U7" s="16" t="s">
        <v>2</v>
      </c>
      <c r="V7" s="16">
        <f t="shared" si="8"/>
        <v>9</v>
      </c>
      <c r="W7" s="16">
        <f t="shared" si="9"/>
        <v>27</v>
      </c>
      <c r="X7" s="16" t="s">
        <v>3</v>
      </c>
      <c r="Y7" s="16">
        <f t="shared" si="10"/>
        <v>8</v>
      </c>
      <c r="Z7" s="16">
        <f t="shared" si="11"/>
        <v>8</v>
      </c>
      <c r="AA7" s="16">
        <f t="shared" si="12"/>
        <v>47</v>
      </c>
      <c r="AB7" s="16">
        <f t="shared" si="12"/>
        <v>142</v>
      </c>
      <c r="AC7" s="11" t="s">
        <v>17</v>
      </c>
      <c r="AD7" s="4">
        <v>7.8888888888888893</v>
      </c>
      <c r="AF7" s="5" t="s">
        <v>6</v>
      </c>
      <c r="AG7" s="5">
        <v>5</v>
      </c>
    </row>
    <row r="8" spans="1:33" s="5" customFormat="1" ht="42" customHeight="1">
      <c r="A8" s="2">
        <v>7</v>
      </c>
      <c r="B8" s="12">
        <v>2544640819</v>
      </c>
      <c r="C8" s="12">
        <v>250371505013</v>
      </c>
      <c r="D8" s="17">
        <f t="shared" si="13"/>
        <v>250007</v>
      </c>
      <c r="E8" s="13" t="s">
        <v>267</v>
      </c>
      <c r="F8" s="12" t="s">
        <v>23</v>
      </c>
      <c r="G8" s="19" t="s">
        <v>15</v>
      </c>
      <c r="H8" s="19" t="s">
        <v>34</v>
      </c>
      <c r="I8" s="16" t="s">
        <v>2</v>
      </c>
      <c r="J8" s="16">
        <f t="shared" si="0"/>
        <v>9</v>
      </c>
      <c r="K8" s="16">
        <f t="shared" si="1"/>
        <v>27</v>
      </c>
      <c r="L8" s="16" t="s">
        <v>3</v>
      </c>
      <c r="M8" s="16">
        <f t="shared" si="2"/>
        <v>8</v>
      </c>
      <c r="N8" s="16">
        <f t="shared" si="3"/>
        <v>24</v>
      </c>
      <c r="O8" s="16" t="s">
        <v>3</v>
      </c>
      <c r="P8" s="16">
        <f t="shared" si="4"/>
        <v>8</v>
      </c>
      <c r="Q8" s="16">
        <f t="shared" si="5"/>
        <v>32</v>
      </c>
      <c r="R8" s="16" t="s">
        <v>8</v>
      </c>
      <c r="S8" s="16">
        <f t="shared" si="6"/>
        <v>10</v>
      </c>
      <c r="T8" s="16">
        <f t="shared" si="7"/>
        <v>40</v>
      </c>
      <c r="U8" s="16" t="s">
        <v>2</v>
      </c>
      <c r="V8" s="16">
        <f t="shared" si="8"/>
        <v>9</v>
      </c>
      <c r="W8" s="16">
        <f t="shared" si="9"/>
        <v>27</v>
      </c>
      <c r="X8" s="16" t="s">
        <v>8</v>
      </c>
      <c r="Y8" s="16">
        <f t="shared" si="10"/>
        <v>10</v>
      </c>
      <c r="Z8" s="16">
        <f t="shared" si="11"/>
        <v>10</v>
      </c>
      <c r="AA8" s="16">
        <f t="shared" si="12"/>
        <v>54</v>
      </c>
      <c r="AB8" s="16">
        <f t="shared" si="12"/>
        <v>160</v>
      </c>
      <c r="AC8" s="11" t="s">
        <v>17</v>
      </c>
      <c r="AD8" s="4">
        <v>8.8888888888888893</v>
      </c>
      <c r="AF8" s="5" t="s">
        <v>11</v>
      </c>
      <c r="AG8" s="5">
        <v>4</v>
      </c>
    </row>
    <row r="9" spans="1:33" s="5" customFormat="1" ht="42" customHeight="1">
      <c r="A9" s="2">
        <v>8</v>
      </c>
      <c r="B9" s="12">
        <v>2544640546</v>
      </c>
      <c r="C9" s="12">
        <v>250371505014</v>
      </c>
      <c r="D9" s="17">
        <f t="shared" si="13"/>
        <v>250008</v>
      </c>
      <c r="E9" s="13" t="s">
        <v>268</v>
      </c>
      <c r="F9" s="12" t="s">
        <v>23</v>
      </c>
      <c r="G9" s="19" t="s">
        <v>15</v>
      </c>
      <c r="H9" s="19" t="s">
        <v>34</v>
      </c>
      <c r="I9" s="16" t="s">
        <v>2</v>
      </c>
      <c r="J9" s="16">
        <f t="shared" si="0"/>
        <v>9</v>
      </c>
      <c r="K9" s="16">
        <f t="shared" si="1"/>
        <v>27</v>
      </c>
      <c r="L9" s="16" t="s">
        <v>4</v>
      </c>
      <c r="M9" s="16">
        <f t="shared" si="2"/>
        <v>7</v>
      </c>
      <c r="N9" s="16">
        <f t="shared" si="3"/>
        <v>21</v>
      </c>
      <c r="O9" s="16" t="s">
        <v>8</v>
      </c>
      <c r="P9" s="16">
        <f t="shared" si="4"/>
        <v>10</v>
      </c>
      <c r="Q9" s="16">
        <f t="shared" si="5"/>
        <v>40</v>
      </c>
      <c r="R9" s="16" t="s">
        <v>8</v>
      </c>
      <c r="S9" s="16">
        <f t="shared" si="6"/>
        <v>10</v>
      </c>
      <c r="T9" s="16">
        <f t="shared" si="7"/>
        <v>40</v>
      </c>
      <c r="U9" s="16" t="s">
        <v>8</v>
      </c>
      <c r="V9" s="16">
        <f t="shared" si="8"/>
        <v>10</v>
      </c>
      <c r="W9" s="16">
        <f t="shared" si="9"/>
        <v>30</v>
      </c>
      <c r="X9" s="16" t="s">
        <v>2</v>
      </c>
      <c r="Y9" s="16">
        <f t="shared" si="10"/>
        <v>9</v>
      </c>
      <c r="Z9" s="16">
        <f t="shared" si="11"/>
        <v>9</v>
      </c>
      <c r="AA9" s="16">
        <f t="shared" si="12"/>
        <v>55</v>
      </c>
      <c r="AB9" s="16">
        <f t="shared" si="12"/>
        <v>167</v>
      </c>
      <c r="AC9" s="11" t="s">
        <v>17</v>
      </c>
      <c r="AD9" s="4">
        <v>9.2777777777777786</v>
      </c>
      <c r="AF9" s="5" t="s">
        <v>7</v>
      </c>
      <c r="AG9" s="5">
        <v>0</v>
      </c>
    </row>
    <row r="10" spans="1:33" s="5" customFormat="1" ht="42" customHeight="1">
      <c r="A10" s="2">
        <v>9</v>
      </c>
      <c r="B10" s="12">
        <v>2544640127</v>
      </c>
      <c r="C10" s="12">
        <v>250371505015</v>
      </c>
      <c r="D10" s="17">
        <f t="shared" si="13"/>
        <v>250009</v>
      </c>
      <c r="E10" s="13" t="s">
        <v>269</v>
      </c>
      <c r="F10" s="12" t="s">
        <v>23</v>
      </c>
      <c r="G10" s="19" t="s">
        <v>15</v>
      </c>
      <c r="H10" s="19" t="s">
        <v>34</v>
      </c>
      <c r="I10" s="16" t="s">
        <v>2</v>
      </c>
      <c r="J10" s="16">
        <f t="shared" si="0"/>
        <v>9</v>
      </c>
      <c r="K10" s="16">
        <f t="shared" si="1"/>
        <v>27</v>
      </c>
      <c r="L10" s="16" t="s">
        <v>8</v>
      </c>
      <c r="M10" s="16">
        <f t="shared" si="2"/>
        <v>10</v>
      </c>
      <c r="N10" s="16">
        <f t="shared" si="3"/>
        <v>30</v>
      </c>
      <c r="O10" s="16" t="s">
        <v>4</v>
      </c>
      <c r="P10" s="16">
        <f t="shared" si="4"/>
        <v>7</v>
      </c>
      <c r="Q10" s="16">
        <f t="shared" si="5"/>
        <v>28</v>
      </c>
      <c r="R10" s="16" t="s">
        <v>2</v>
      </c>
      <c r="S10" s="16">
        <f t="shared" si="6"/>
        <v>9</v>
      </c>
      <c r="T10" s="16">
        <f t="shared" si="7"/>
        <v>36</v>
      </c>
      <c r="U10" s="16" t="s">
        <v>8</v>
      </c>
      <c r="V10" s="16">
        <f t="shared" si="8"/>
        <v>10</v>
      </c>
      <c r="W10" s="16">
        <f t="shared" si="9"/>
        <v>30</v>
      </c>
      <c r="X10" s="16" t="s">
        <v>8</v>
      </c>
      <c r="Y10" s="16">
        <f t="shared" si="10"/>
        <v>10</v>
      </c>
      <c r="Z10" s="16">
        <f t="shared" si="11"/>
        <v>10</v>
      </c>
      <c r="AA10" s="16">
        <f t="shared" si="12"/>
        <v>55</v>
      </c>
      <c r="AB10" s="16">
        <f t="shared" si="12"/>
        <v>161</v>
      </c>
      <c r="AC10" s="11" t="s">
        <v>17</v>
      </c>
      <c r="AD10" s="4">
        <v>8.9444444444444446</v>
      </c>
      <c r="AF10" s="35" t="s">
        <v>1522</v>
      </c>
      <c r="AG10" s="35">
        <v>0</v>
      </c>
    </row>
    <row r="11" spans="1:33" s="5" customFormat="1" ht="42" customHeight="1">
      <c r="A11" s="2">
        <v>10</v>
      </c>
      <c r="B11" s="12">
        <v>2544640114</v>
      </c>
      <c r="C11" s="12">
        <v>250371505017</v>
      </c>
      <c r="D11" s="17">
        <f t="shared" si="13"/>
        <v>250010</v>
      </c>
      <c r="E11" s="13" t="s">
        <v>270</v>
      </c>
      <c r="F11" s="12" t="s">
        <v>23</v>
      </c>
      <c r="G11" s="19" t="s">
        <v>15</v>
      </c>
      <c r="H11" s="19" t="s">
        <v>34</v>
      </c>
      <c r="I11" s="16" t="s">
        <v>2</v>
      </c>
      <c r="J11" s="16">
        <f t="shared" si="0"/>
        <v>9</v>
      </c>
      <c r="K11" s="16">
        <f t="shared" si="1"/>
        <v>27</v>
      </c>
      <c r="L11" s="16" t="s">
        <v>3</v>
      </c>
      <c r="M11" s="16">
        <f t="shared" si="2"/>
        <v>8</v>
      </c>
      <c r="N11" s="16">
        <f t="shared" si="3"/>
        <v>24</v>
      </c>
      <c r="O11" s="16" t="s">
        <v>2</v>
      </c>
      <c r="P11" s="16">
        <f t="shared" si="4"/>
        <v>9</v>
      </c>
      <c r="Q11" s="16">
        <f t="shared" si="5"/>
        <v>36</v>
      </c>
      <c r="R11" s="16" t="s">
        <v>8</v>
      </c>
      <c r="S11" s="16">
        <f t="shared" si="6"/>
        <v>10</v>
      </c>
      <c r="T11" s="16">
        <f t="shared" si="7"/>
        <v>40</v>
      </c>
      <c r="U11" s="16" t="s">
        <v>8</v>
      </c>
      <c r="V11" s="16">
        <f t="shared" si="8"/>
        <v>10</v>
      </c>
      <c r="W11" s="16">
        <f t="shared" si="9"/>
        <v>30</v>
      </c>
      <c r="X11" s="16" t="s">
        <v>3</v>
      </c>
      <c r="Y11" s="16">
        <f t="shared" si="10"/>
        <v>8</v>
      </c>
      <c r="Z11" s="16">
        <f t="shared" si="11"/>
        <v>8</v>
      </c>
      <c r="AA11" s="16">
        <f t="shared" si="12"/>
        <v>54</v>
      </c>
      <c r="AB11" s="16">
        <f t="shared" si="12"/>
        <v>165</v>
      </c>
      <c r="AC11" s="11" t="s">
        <v>17</v>
      </c>
      <c r="AD11" s="4">
        <v>9.1666666666666661</v>
      </c>
      <c r="AF11" s="35" t="s">
        <v>1516</v>
      </c>
      <c r="AG11" s="35">
        <v>0</v>
      </c>
    </row>
    <row r="12" spans="1:33" s="5" customFormat="1" ht="42" customHeight="1">
      <c r="A12" s="2">
        <v>11</v>
      </c>
      <c r="B12" s="12">
        <v>2544640593</v>
      </c>
      <c r="C12" s="12">
        <v>250371505018</v>
      </c>
      <c r="D12" s="17">
        <f t="shared" si="13"/>
        <v>250011</v>
      </c>
      <c r="E12" s="13" t="s">
        <v>271</v>
      </c>
      <c r="F12" s="12" t="s">
        <v>23</v>
      </c>
      <c r="G12" s="19" t="s">
        <v>15</v>
      </c>
      <c r="H12" s="19" t="s">
        <v>34</v>
      </c>
      <c r="I12" s="16" t="s">
        <v>3</v>
      </c>
      <c r="J12" s="16">
        <f t="shared" si="0"/>
        <v>8</v>
      </c>
      <c r="K12" s="16">
        <f t="shared" si="1"/>
        <v>24</v>
      </c>
      <c r="L12" s="16" t="s">
        <v>8</v>
      </c>
      <c r="M12" s="16">
        <f t="shared" si="2"/>
        <v>10</v>
      </c>
      <c r="N12" s="16">
        <f t="shared" si="3"/>
        <v>30</v>
      </c>
      <c r="O12" s="16" t="s">
        <v>3</v>
      </c>
      <c r="P12" s="16">
        <f t="shared" si="4"/>
        <v>8</v>
      </c>
      <c r="Q12" s="16">
        <f t="shared" si="5"/>
        <v>32</v>
      </c>
      <c r="R12" s="16" t="s">
        <v>8</v>
      </c>
      <c r="S12" s="16">
        <f t="shared" si="6"/>
        <v>10</v>
      </c>
      <c r="T12" s="16">
        <f t="shared" si="7"/>
        <v>40</v>
      </c>
      <c r="U12" s="16" t="s">
        <v>8</v>
      </c>
      <c r="V12" s="16">
        <f t="shared" si="8"/>
        <v>10</v>
      </c>
      <c r="W12" s="16">
        <f t="shared" si="9"/>
        <v>30</v>
      </c>
      <c r="X12" s="16" t="s">
        <v>2</v>
      </c>
      <c r="Y12" s="16">
        <f t="shared" si="10"/>
        <v>9</v>
      </c>
      <c r="Z12" s="16">
        <f t="shared" si="11"/>
        <v>9</v>
      </c>
      <c r="AA12" s="16">
        <f t="shared" si="12"/>
        <v>55</v>
      </c>
      <c r="AB12" s="16">
        <f t="shared" si="12"/>
        <v>165</v>
      </c>
      <c r="AC12" s="11" t="s">
        <v>17</v>
      </c>
      <c r="AD12" s="4">
        <v>9.1666666666666661</v>
      </c>
    </row>
    <row r="13" spans="1:33" s="5" customFormat="1" ht="42" customHeight="1">
      <c r="A13" s="2">
        <v>12</v>
      </c>
      <c r="B13" s="12">
        <v>2544640095</v>
      </c>
      <c r="C13" s="12">
        <v>250371505020</v>
      </c>
      <c r="D13" s="17">
        <f t="shared" si="13"/>
        <v>250012</v>
      </c>
      <c r="E13" s="13" t="s">
        <v>272</v>
      </c>
      <c r="F13" s="12" t="s">
        <v>23</v>
      </c>
      <c r="G13" s="19" t="s">
        <v>15</v>
      </c>
      <c r="H13" s="19" t="s">
        <v>34</v>
      </c>
      <c r="I13" s="16" t="s">
        <v>2</v>
      </c>
      <c r="J13" s="16">
        <f t="shared" si="0"/>
        <v>9</v>
      </c>
      <c r="K13" s="16">
        <f t="shared" si="1"/>
        <v>27</v>
      </c>
      <c r="L13" s="16" t="s">
        <v>8</v>
      </c>
      <c r="M13" s="16">
        <f t="shared" si="2"/>
        <v>10</v>
      </c>
      <c r="N13" s="16">
        <f t="shared" si="3"/>
        <v>30</v>
      </c>
      <c r="O13" s="16" t="s">
        <v>8</v>
      </c>
      <c r="P13" s="16">
        <f t="shared" si="4"/>
        <v>10</v>
      </c>
      <c r="Q13" s="16">
        <f t="shared" si="5"/>
        <v>40</v>
      </c>
      <c r="R13" s="16" t="s">
        <v>8</v>
      </c>
      <c r="S13" s="16">
        <f t="shared" si="6"/>
        <v>10</v>
      </c>
      <c r="T13" s="16">
        <f t="shared" si="7"/>
        <v>40</v>
      </c>
      <c r="U13" s="16" t="s">
        <v>8</v>
      </c>
      <c r="V13" s="16">
        <f t="shared" si="8"/>
        <v>10</v>
      </c>
      <c r="W13" s="16">
        <f t="shared" si="9"/>
        <v>30</v>
      </c>
      <c r="X13" s="16" t="s">
        <v>8</v>
      </c>
      <c r="Y13" s="16">
        <f t="shared" si="10"/>
        <v>10</v>
      </c>
      <c r="Z13" s="16">
        <f t="shared" si="11"/>
        <v>10</v>
      </c>
      <c r="AA13" s="16">
        <f t="shared" si="12"/>
        <v>59</v>
      </c>
      <c r="AB13" s="16">
        <f t="shared" si="12"/>
        <v>177</v>
      </c>
      <c r="AC13" s="11" t="s">
        <v>17</v>
      </c>
      <c r="AD13" s="4">
        <v>9.8333333333333339</v>
      </c>
    </row>
    <row r="14" spans="1:33" s="5" customFormat="1" ht="42" customHeight="1">
      <c r="A14" s="2">
        <v>13</v>
      </c>
      <c r="B14" s="12">
        <v>2544640951</v>
      </c>
      <c r="C14" s="12">
        <v>250371505021</v>
      </c>
      <c r="D14" s="17">
        <f t="shared" si="13"/>
        <v>250013</v>
      </c>
      <c r="E14" s="13" t="s">
        <v>273</v>
      </c>
      <c r="F14" s="12" t="s">
        <v>23</v>
      </c>
      <c r="G14" s="19" t="s">
        <v>15</v>
      </c>
      <c r="H14" s="19" t="s">
        <v>34</v>
      </c>
      <c r="I14" s="16" t="s">
        <v>3</v>
      </c>
      <c r="J14" s="16">
        <f t="shared" si="0"/>
        <v>8</v>
      </c>
      <c r="K14" s="16">
        <f t="shared" si="1"/>
        <v>24</v>
      </c>
      <c r="L14" s="16" t="s">
        <v>8</v>
      </c>
      <c r="M14" s="16">
        <f t="shared" si="2"/>
        <v>10</v>
      </c>
      <c r="N14" s="16">
        <f t="shared" si="3"/>
        <v>30</v>
      </c>
      <c r="O14" s="16" t="s">
        <v>3</v>
      </c>
      <c r="P14" s="16">
        <f t="shared" si="4"/>
        <v>8</v>
      </c>
      <c r="Q14" s="16">
        <f t="shared" si="5"/>
        <v>32</v>
      </c>
      <c r="R14" s="16" t="s">
        <v>8</v>
      </c>
      <c r="S14" s="16">
        <f t="shared" si="6"/>
        <v>10</v>
      </c>
      <c r="T14" s="16">
        <f t="shared" si="7"/>
        <v>40</v>
      </c>
      <c r="U14" s="16" t="s">
        <v>8</v>
      </c>
      <c r="V14" s="16">
        <f t="shared" si="8"/>
        <v>10</v>
      </c>
      <c r="W14" s="16">
        <f t="shared" si="9"/>
        <v>30</v>
      </c>
      <c r="X14" s="16" t="s">
        <v>3</v>
      </c>
      <c r="Y14" s="16">
        <f t="shared" si="10"/>
        <v>8</v>
      </c>
      <c r="Z14" s="16">
        <f t="shared" si="11"/>
        <v>8</v>
      </c>
      <c r="AA14" s="16">
        <f t="shared" si="12"/>
        <v>54</v>
      </c>
      <c r="AB14" s="16">
        <f t="shared" si="12"/>
        <v>164</v>
      </c>
      <c r="AC14" s="11" t="s">
        <v>17</v>
      </c>
      <c r="AD14" s="4">
        <v>9.1111111111111107</v>
      </c>
    </row>
    <row r="15" spans="1:33" s="5" customFormat="1" ht="42" customHeight="1">
      <c r="A15" s="2">
        <v>14</v>
      </c>
      <c r="B15" s="12">
        <v>2544640061</v>
      </c>
      <c r="C15" s="12">
        <v>250371505023</v>
      </c>
      <c r="D15" s="17">
        <f t="shared" si="13"/>
        <v>250014</v>
      </c>
      <c r="E15" s="13" t="s">
        <v>274</v>
      </c>
      <c r="F15" s="12" t="s">
        <v>23</v>
      </c>
      <c r="G15" s="19" t="s">
        <v>15</v>
      </c>
      <c r="H15" s="19" t="s">
        <v>34</v>
      </c>
      <c r="I15" s="16" t="s">
        <v>2</v>
      </c>
      <c r="J15" s="16">
        <f t="shared" si="0"/>
        <v>9</v>
      </c>
      <c r="K15" s="16">
        <f t="shared" si="1"/>
        <v>27</v>
      </c>
      <c r="L15" s="16" t="s">
        <v>8</v>
      </c>
      <c r="M15" s="16">
        <f t="shared" si="2"/>
        <v>10</v>
      </c>
      <c r="N15" s="16">
        <f t="shared" si="3"/>
        <v>30</v>
      </c>
      <c r="O15" s="16" t="s">
        <v>3</v>
      </c>
      <c r="P15" s="16">
        <f t="shared" si="4"/>
        <v>8</v>
      </c>
      <c r="Q15" s="16">
        <f t="shared" si="5"/>
        <v>32</v>
      </c>
      <c r="R15" s="16" t="s">
        <v>8</v>
      </c>
      <c r="S15" s="16">
        <f t="shared" si="6"/>
        <v>10</v>
      </c>
      <c r="T15" s="16">
        <f t="shared" si="7"/>
        <v>40</v>
      </c>
      <c r="U15" s="16" t="s">
        <v>2</v>
      </c>
      <c r="V15" s="16">
        <f t="shared" si="8"/>
        <v>9</v>
      </c>
      <c r="W15" s="16">
        <f t="shared" si="9"/>
        <v>27</v>
      </c>
      <c r="X15" s="16" t="s">
        <v>8</v>
      </c>
      <c r="Y15" s="16">
        <f t="shared" si="10"/>
        <v>10</v>
      </c>
      <c r="Z15" s="16">
        <f t="shared" si="11"/>
        <v>10</v>
      </c>
      <c r="AA15" s="16">
        <f t="shared" si="12"/>
        <v>56</v>
      </c>
      <c r="AB15" s="16">
        <f t="shared" si="12"/>
        <v>166</v>
      </c>
      <c r="AC15" s="11" t="s">
        <v>17</v>
      </c>
      <c r="AD15" s="4">
        <v>9.2222222222222214</v>
      </c>
    </row>
    <row r="16" spans="1:33" s="5" customFormat="1" ht="42" customHeight="1">
      <c r="A16" s="2">
        <v>15</v>
      </c>
      <c r="B16" s="12">
        <v>2544640024</v>
      </c>
      <c r="C16" s="12">
        <v>250371505024</v>
      </c>
      <c r="D16" s="17">
        <f t="shared" si="13"/>
        <v>250015</v>
      </c>
      <c r="E16" s="13" t="s">
        <v>275</v>
      </c>
      <c r="F16" s="12" t="s">
        <v>23</v>
      </c>
      <c r="G16" s="19" t="s">
        <v>15</v>
      </c>
      <c r="H16" s="19" t="s">
        <v>34</v>
      </c>
      <c r="I16" s="16" t="s">
        <v>2</v>
      </c>
      <c r="J16" s="16">
        <f t="shared" si="0"/>
        <v>9</v>
      </c>
      <c r="K16" s="16">
        <f t="shared" si="1"/>
        <v>27</v>
      </c>
      <c r="L16" s="16" t="s">
        <v>8</v>
      </c>
      <c r="M16" s="16">
        <f t="shared" si="2"/>
        <v>10</v>
      </c>
      <c r="N16" s="16">
        <f t="shared" si="3"/>
        <v>30</v>
      </c>
      <c r="O16" s="16" t="s">
        <v>6</v>
      </c>
      <c r="P16" s="16">
        <f t="shared" si="4"/>
        <v>5</v>
      </c>
      <c r="Q16" s="16">
        <f t="shared" si="5"/>
        <v>20</v>
      </c>
      <c r="R16" s="16" t="s">
        <v>8</v>
      </c>
      <c r="S16" s="16">
        <f t="shared" si="6"/>
        <v>10</v>
      </c>
      <c r="T16" s="16">
        <f t="shared" si="7"/>
        <v>40</v>
      </c>
      <c r="U16" s="16" t="s">
        <v>2</v>
      </c>
      <c r="V16" s="16">
        <f t="shared" si="8"/>
        <v>9</v>
      </c>
      <c r="W16" s="16">
        <f t="shared" si="9"/>
        <v>27</v>
      </c>
      <c r="X16" s="16" t="s">
        <v>8</v>
      </c>
      <c r="Y16" s="16">
        <f t="shared" si="10"/>
        <v>10</v>
      </c>
      <c r="Z16" s="16">
        <f t="shared" si="11"/>
        <v>10</v>
      </c>
      <c r="AA16" s="16">
        <f t="shared" si="12"/>
        <v>53</v>
      </c>
      <c r="AB16" s="16">
        <f t="shared" si="12"/>
        <v>154</v>
      </c>
      <c r="AC16" s="11" t="s">
        <v>17</v>
      </c>
      <c r="AD16" s="4">
        <v>8.5555555555555554</v>
      </c>
    </row>
    <row r="17" spans="1:30" s="5" customFormat="1" ht="42" customHeight="1">
      <c r="A17" s="2">
        <v>16</v>
      </c>
      <c r="B17" s="12">
        <v>2544640178</v>
      </c>
      <c r="C17" s="12">
        <v>250371505026</v>
      </c>
      <c r="D17" s="17">
        <f t="shared" si="13"/>
        <v>250016</v>
      </c>
      <c r="E17" s="13" t="s">
        <v>276</v>
      </c>
      <c r="F17" s="12" t="s">
        <v>23</v>
      </c>
      <c r="G17" s="19" t="s">
        <v>15</v>
      </c>
      <c r="H17" s="19" t="s">
        <v>34</v>
      </c>
      <c r="I17" s="16" t="s">
        <v>2</v>
      </c>
      <c r="J17" s="16">
        <f t="shared" si="0"/>
        <v>9</v>
      </c>
      <c r="K17" s="16">
        <f t="shared" si="1"/>
        <v>27</v>
      </c>
      <c r="L17" s="16" t="s">
        <v>8</v>
      </c>
      <c r="M17" s="16">
        <f t="shared" si="2"/>
        <v>10</v>
      </c>
      <c r="N17" s="16">
        <f t="shared" si="3"/>
        <v>30</v>
      </c>
      <c r="O17" s="16" t="s">
        <v>3</v>
      </c>
      <c r="P17" s="16">
        <f t="shared" si="4"/>
        <v>8</v>
      </c>
      <c r="Q17" s="16">
        <f t="shared" si="5"/>
        <v>32</v>
      </c>
      <c r="R17" s="16" t="s">
        <v>8</v>
      </c>
      <c r="S17" s="16">
        <f t="shared" si="6"/>
        <v>10</v>
      </c>
      <c r="T17" s="16">
        <f t="shared" si="7"/>
        <v>40</v>
      </c>
      <c r="U17" s="16" t="s">
        <v>8</v>
      </c>
      <c r="V17" s="16">
        <f t="shared" si="8"/>
        <v>10</v>
      </c>
      <c r="W17" s="16">
        <f t="shared" si="9"/>
        <v>30</v>
      </c>
      <c r="X17" s="16" t="s">
        <v>8</v>
      </c>
      <c r="Y17" s="16">
        <f t="shared" si="10"/>
        <v>10</v>
      </c>
      <c r="Z17" s="16">
        <f t="shared" si="11"/>
        <v>10</v>
      </c>
      <c r="AA17" s="16">
        <f t="shared" si="12"/>
        <v>57</v>
      </c>
      <c r="AB17" s="16">
        <f t="shared" si="12"/>
        <v>169</v>
      </c>
      <c r="AC17" s="11" t="s">
        <v>17</v>
      </c>
      <c r="AD17" s="4">
        <v>9.3888888888888893</v>
      </c>
    </row>
    <row r="18" spans="1:30" s="5" customFormat="1" ht="42" customHeight="1">
      <c r="A18" s="2">
        <v>17</v>
      </c>
      <c r="B18" s="12">
        <v>2544640043</v>
      </c>
      <c r="C18" s="12">
        <v>250371505028</v>
      </c>
      <c r="D18" s="17">
        <f t="shared" si="13"/>
        <v>250017</v>
      </c>
      <c r="E18" s="13" t="s">
        <v>277</v>
      </c>
      <c r="F18" s="12" t="s">
        <v>23</v>
      </c>
      <c r="G18" s="19" t="s">
        <v>15</v>
      </c>
      <c r="H18" s="19" t="s">
        <v>34</v>
      </c>
      <c r="I18" s="16" t="s">
        <v>2</v>
      </c>
      <c r="J18" s="16">
        <f t="shared" si="0"/>
        <v>9</v>
      </c>
      <c r="K18" s="16">
        <f t="shared" si="1"/>
        <v>27</v>
      </c>
      <c r="L18" s="16" t="s">
        <v>3</v>
      </c>
      <c r="M18" s="16">
        <f t="shared" si="2"/>
        <v>8</v>
      </c>
      <c r="N18" s="16">
        <f t="shared" si="3"/>
        <v>24</v>
      </c>
      <c r="O18" s="16" t="s">
        <v>4</v>
      </c>
      <c r="P18" s="16">
        <f t="shared" si="4"/>
        <v>7</v>
      </c>
      <c r="Q18" s="16">
        <f t="shared" si="5"/>
        <v>28</v>
      </c>
      <c r="R18" s="16" t="s">
        <v>2</v>
      </c>
      <c r="S18" s="16">
        <f t="shared" si="6"/>
        <v>9</v>
      </c>
      <c r="T18" s="16">
        <f t="shared" si="7"/>
        <v>36</v>
      </c>
      <c r="U18" s="16" t="s">
        <v>2</v>
      </c>
      <c r="V18" s="16">
        <f t="shared" si="8"/>
        <v>9</v>
      </c>
      <c r="W18" s="16">
        <f t="shared" si="9"/>
        <v>27</v>
      </c>
      <c r="X18" s="16" t="s">
        <v>2</v>
      </c>
      <c r="Y18" s="16">
        <f t="shared" si="10"/>
        <v>9</v>
      </c>
      <c r="Z18" s="16">
        <f t="shared" si="11"/>
        <v>9</v>
      </c>
      <c r="AA18" s="16">
        <f t="shared" si="12"/>
        <v>51</v>
      </c>
      <c r="AB18" s="16">
        <f t="shared" si="12"/>
        <v>151</v>
      </c>
      <c r="AC18" s="11" t="s">
        <v>17</v>
      </c>
      <c r="AD18" s="4">
        <v>8.3888888888888893</v>
      </c>
    </row>
    <row r="19" spans="1:30" s="5" customFormat="1" ht="42" customHeight="1">
      <c r="A19" s="2">
        <v>18</v>
      </c>
      <c r="B19" s="12">
        <v>2544640270</v>
      </c>
      <c r="C19" s="12">
        <v>250371505029</v>
      </c>
      <c r="D19" s="17">
        <f t="shared" si="13"/>
        <v>250018</v>
      </c>
      <c r="E19" s="13" t="s">
        <v>278</v>
      </c>
      <c r="F19" s="12" t="s">
        <v>23</v>
      </c>
      <c r="G19" s="19" t="s">
        <v>15</v>
      </c>
      <c r="H19" s="19" t="s">
        <v>34</v>
      </c>
      <c r="I19" s="16" t="s">
        <v>3</v>
      </c>
      <c r="J19" s="16">
        <f t="shared" si="0"/>
        <v>8</v>
      </c>
      <c r="K19" s="16">
        <f t="shared" si="1"/>
        <v>24</v>
      </c>
      <c r="L19" s="16" t="s">
        <v>4</v>
      </c>
      <c r="M19" s="16">
        <f t="shared" si="2"/>
        <v>7</v>
      </c>
      <c r="N19" s="16">
        <f t="shared" si="3"/>
        <v>21</v>
      </c>
      <c r="O19" s="16" t="s">
        <v>4</v>
      </c>
      <c r="P19" s="16">
        <f t="shared" si="4"/>
        <v>7</v>
      </c>
      <c r="Q19" s="16">
        <f t="shared" si="5"/>
        <v>28</v>
      </c>
      <c r="R19" s="16" t="s">
        <v>2</v>
      </c>
      <c r="S19" s="16">
        <f t="shared" si="6"/>
        <v>9</v>
      </c>
      <c r="T19" s="16">
        <f t="shared" si="7"/>
        <v>36</v>
      </c>
      <c r="U19" s="16" t="s">
        <v>2</v>
      </c>
      <c r="V19" s="16">
        <f t="shared" si="8"/>
        <v>9</v>
      </c>
      <c r="W19" s="16">
        <f t="shared" si="9"/>
        <v>27</v>
      </c>
      <c r="X19" s="16" t="s">
        <v>2</v>
      </c>
      <c r="Y19" s="16">
        <f t="shared" si="10"/>
        <v>9</v>
      </c>
      <c r="Z19" s="16">
        <f t="shared" si="11"/>
        <v>9</v>
      </c>
      <c r="AA19" s="16">
        <f t="shared" si="12"/>
        <v>49</v>
      </c>
      <c r="AB19" s="16">
        <f t="shared" si="12"/>
        <v>145</v>
      </c>
      <c r="AC19" s="11" t="s">
        <v>17</v>
      </c>
      <c r="AD19" s="4">
        <v>8.0555555555555554</v>
      </c>
    </row>
    <row r="20" spans="1:30" s="5" customFormat="1" ht="42" customHeight="1">
      <c r="A20" s="2">
        <v>19</v>
      </c>
      <c r="B20" s="12">
        <v>2544640015</v>
      </c>
      <c r="C20" s="12">
        <v>250371505031</v>
      </c>
      <c r="D20" s="17">
        <f t="shared" si="13"/>
        <v>250019</v>
      </c>
      <c r="E20" s="13" t="s">
        <v>279</v>
      </c>
      <c r="F20" s="12" t="s">
        <v>23</v>
      </c>
      <c r="G20" s="19" t="s">
        <v>15</v>
      </c>
      <c r="H20" s="19" t="s">
        <v>34</v>
      </c>
      <c r="I20" s="16" t="s">
        <v>3</v>
      </c>
      <c r="J20" s="16">
        <f t="shared" si="0"/>
        <v>8</v>
      </c>
      <c r="K20" s="16">
        <f t="shared" si="1"/>
        <v>24</v>
      </c>
      <c r="L20" s="16" t="s">
        <v>5</v>
      </c>
      <c r="M20" s="16">
        <f t="shared" si="2"/>
        <v>6</v>
      </c>
      <c r="N20" s="16">
        <f t="shared" si="3"/>
        <v>18</v>
      </c>
      <c r="O20" s="16" t="s">
        <v>3</v>
      </c>
      <c r="P20" s="16">
        <f t="shared" si="4"/>
        <v>8</v>
      </c>
      <c r="Q20" s="16">
        <f t="shared" si="5"/>
        <v>32</v>
      </c>
      <c r="R20" s="16" t="s">
        <v>2</v>
      </c>
      <c r="S20" s="16">
        <f t="shared" si="6"/>
        <v>9</v>
      </c>
      <c r="T20" s="16">
        <f t="shared" si="7"/>
        <v>36</v>
      </c>
      <c r="U20" s="16" t="s">
        <v>2</v>
      </c>
      <c r="V20" s="16">
        <f t="shared" si="8"/>
        <v>9</v>
      </c>
      <c r="W20" s="16">
        <f t="shared" si="9"/>
        <v>27</v>
      </c>
      <c r="X20" s="16" t="s">
        <v>8</v>
      </c>
      <c r="Y20" s="16">
        <f t="shared" si="10"/>
        <v>10</v>
      </c>
      <c r="Z20" s="16">
        <f t="shared" si="11"/>
        <v>10</v>
      </c>
      <c r="AA20" s="16">
        <f t="shared" si="12"/>
        <v>50</v>
      </c>
      <c r="AB20" s="16">
        <f t="shared" si="12"/>
        <v>147</v>
      </c>
      <c r="AC20" s="11" t="s">
        <v>17</v>
      </c>
      <c r="AD20" s="4">
        <v>8.1666666666666661</v>
      </c>
    </row>
    <row r="21" spans="1:30" s="5" customFormat="1" ht="42" customHeight="1">
      <c r="A21" s="2">
        <v>20</v>
      </c>
      <c r="B21" s="12">
        <v>2544640098</v>
      </c>
      <c r="C21" s="12">
        <v>250371505032</v>
      </c>
      <c r="D21" s="17">
        <f t="shared" si="13"/>
        <v>250020</v>
      </c>
      <c r="E21" s="13" t="s">
        <v>280</v>
      </c>
      <c r="F21" s="12" t="s">
        <v>23</v>
      </c>
      <c r="G21" s="19" t="s">
        <v>15</v>
      </c>
      <c r="H21" s="19" t="s">
        <v>34</v>
      </c>
      <c r="I21" s="16" t="s">
        <v>3</v>
      </c>
      <c r="J21" s="16">
        <f t="shared" si="0"/>
        <v>8</v>
      </c>
      <c r="K21" s="16">
        <f t="shared" si="1"/>
        <v>24</v>
      </c>
      <c r="L21" s="16" t="s">
        <v>4</v>
      </c>
      <c r="M21" s="16">
        <f t="shared" si="2"/>
        <v>7</v>
      </c>
      <c r="N21" s="16">
        <f t="shared" si="3"/>
        <v>21</v>
      </c>
      <c r="O21" s="16" t="s">
        <v>2</v>
      </c>
      <c r="P21" s="16">
        <f t="shared" si="4"/>
        <v>9</v>
      </c>
      <c r="Q21" s="16">
        <f t="shared" si="5"/>
        <v>36</v>
      </c>
      <c r="R21" s="16" t="s">
        <v>8</v>
      </c>
      <c r="S21" s="16">
        <f t="shared" si="6"/>
        <v>10</v>
      </c>
      <c r="T21" s="16">
        <f t="shared" si="7"/>
        <v>40</v>
      </c>
      <c r="U21" s="16" t="s">
        <v>8</v>
      </c>
      <c r="V21" s="16">
        <f t="shared" si="8"/>
        <v>10</v>
      </c>
      <c r="W21" s="16">
        <f t="shared" si="9"/>
        <v>30</v>
      </c>
      <c r="X21" s="16" t="s">
        <v>2</v>
      </c>
      <c r="Y21" s="16">
        <f t="shared" si="10"/>
        <v>9</v>
      </c>
      <c r="Z21" s="16">
        <f t="shared" si="11"/>
        <v>9</v>
      </c>
      <c r="AA21" s="16">
        <f t="shared" si="12"/>
        <v>53</v>
      </c>
      <c r="AB21" s="16">
        <f t="shared" si="12"/>
        <v>160</v>
      </c>
      <c r="AC21" s="11" t="s">
        <v>17</v>
      </c>
      <c r="AD21" s="4">
        <v>8.8888888888888893</v>
      </c>
    </row>
    <row r="22" spans="1:30" s="5" customFormat="1" ht="42" customHeight="1">
      <c r="A22" s="2">
        <v>21</v>
      </c>
      <c r="B22" s="12">
        <v>2544640176</v>
      </c>
      <c r="C22" s="12">
        <v>250371505033</v>
      </c>
      <c r="D22" s="17">
        <f t="shared" si="13"/>
        <v>250021</v>
      </c>
      <c r="E22" s="13" t="s">
        <v>281</v>
      </c>
      <c r="F22" s="12" t="s">
        <v>23</v>
      </c>
      <c r="G22" s="19" t="s">
        <v>15</v>
      </c>
      <c r="H22" s="19" t="s">
        <v>34</v>
      </c>
      <c r="I22" s="16" t="s">
        <v>4</v>
      </c>
      <c r="J22" s="16">
        <f t="shared" si="0"/>
        <v>7</v>
      </c>
      <c r="K22" s="16">
        <f t="shared" si="1"/>
        <v>21</v>
      </c>
      <c r="L22" s="16" t="s">
        <v>6</v>
      </c>
      <c r="M22" s="16">
        <f t="shared" si="2"/>
        <v>5</v>
      </c>
      <c r="N22" s="16">
        <f t="shared" si="3"/>
        <v>15</v>
      </c>
      <c r="O22" s="16" t="s">
        <v>4</v>
      </c>
      <c r="P22" s="16">
        <f t="shared" si="4"/>
        <v>7</v>
      </c>
      <c r="Q22" s="16">
        <f t="shared" si="5"/>
        <v>28</v>
      </c>
      <c r="R22" s="16" t="s">
        <v>8</v>
      </c>
      <c r="S22" s="16">
        <f t="shared" si="6"/>
        <v>10</v>
      </c>
      <c r="T22" s="16">
        <f t="shared" si="7"/>
        <v>40</v>
      </c>
      <c r="U22" s="16" t="s">
        <v>8</v>
      </c>
      <c r="V22" s="16">
        <f t="shared" si="8"/>
        <v>10</v>
      </c>
      <c r="W22" s="16">
        <f t="shared" si="9"/>
        <v>30</v>
      </c>
      <c r="X22" s="16" t="s">
        <v>2</v>
      </c>
      <c r="Y22" s="16">
        <f t="shared" si="10"/>
        <v>9</v>
      </c>
      <c r="Z22" s="16">
        <f t="shared" si="11"/>
        <v>9</v>
      </c>
      <c r="AA22" s="16">
        <f t="shared" si="12"/>
        <v>48</v>
      </c>
      <c r="AB22" s="16">
        <f t="shared" si="12"/>
        <v>143</v>
      </c>
      <c r="AC22" s="11" t="s">
        <v>17</v>
      </c>
      <c r="AD22" s="4">
        <v>7.9444444444444446</v>
      </c>
    </row>
    <row r="23" spans="1:30" s="5" customFormat="1" ht="42" customHeight="1">
      <c r="A23" s="2">
        <v>22</v>
      </c>
      <c r="B23" s="12">
        <v>2544640175</v>
      </c>
      <c r="C23" s="12">
        <v>250371505034</v>
      </c>
      <c r="D23" s="17">
        <f t="shared" si="13"/>
        <v>250022</v>
      </c>
      <c r="E23" s="13" t="s">
        <v>282</v>
      </c>
      <c r="F23" s="12" t="s">
        <v>23</v>
      </c>
      <c r="G23" s="19" t="s">
        <v>15</v>
      </c>
      <c r="H23" s="19" t="s">
        <v>34</v>
      </c>
      <c r="I23" s="16" t="s">
        <v>4</v>
      </c>
      <c r="J23" s="16">
        <f t="shared" si="0"/>
        <v>7</v>
      </c>
      <c r="K23" s="16">
        <f t="shared" si="1"/>
        <v>21</v>
      </c>
      <c r="L23" s="16" t="s">
        <v>4</v>
      </c>
      <c r="M23" s="16">
        <f t="shared" si="2"/>
        <v>7</v>
      </c>
      <c r="N23" s="16">
        <f t="shared" si="3"/>
        <v>21</v>
      </c>
      <c r="O23" s="16" t="s">
        <v>4</v>
      </c>
      <c r="P23" s="16">
        <f t="shared" si="4"/>
        <v>7</v>
      </c>
      <c r="Q23" s="16">
        <f t="shared" si="5"/>
        <v>28</v>
      </c>
      <c r="R23" s="16" t="s">
        <v>8</v>
      </c>
      <c r="S23" s="16">
        <f t="shared" si="6"/>
        <v>10</v>
      </c>
      <c r="T23" s="16">
        <f t="shared" si="7"/>
        <v>40</v>
      </c>
      <c r="U23" s="16" t="s">
        <v>2</v>
      </c>
      <c r="V23" s="16">
        <f t="shared" si="8"/>
        <v>9</v>
      </c>
      <c r="W23" s="16">
        <f t="shared" si="9"/>
        <v>27</v>
      </c>
      <c r="X23" s="16" t="s">
        <v>2</v>
      </c>
      <c r="Y23" s="16">
        <f t="shared" si="10"/>
        <v>9</v>
      </c>
      <c r="Z23" s="16">
        <f t="shared" si="11"/>
        <v>9</v>
      </c>
      <c r="AA23" s="16">
        <f t="shared" si="12"/>
        <v>49</v>
      </c>
      <c r="AB23" s="16">
        <f t="shared" si="12"/>
        <v>146</v>
      </c>
      <c r="AC23" s="11" t="s">
        <v>17</v>
      </c>
      <c r="AD23" s="4">
        <v>8.1111111111111107</v>
      </c>
    </row>
    <row r="24" spans="1:30" s="5" customFormat="1" ht="42" customHeight="1">
      <c r="A24" s="2">
        <v>23</v>
      </c>
      <c r="B24" s="12">
        <v>2544640057</v>
      </c>
      <c r="C24" s="12">
        <v>250371505036</v>
      </c>
      <c r="D24" s="17">
        <f t="shared" si="13"/>
        <v>250023</v>
      </c>
      <c r="E24" s="13" t="s">
        <v>283</v>
      </c>
      <c r="F24" s="12" t="s">
        <v>23</v>
      </c>
      <c r="G24" s="19" t="s">
        <v>15</v>
      </c>
      <c r="H24" s="19" t="s">
        <v>34</v>
      </c>
      <c r="I24" s="16" t="s">
        <v>3</v>
      </c>
      <c r="J24" s="16">
        <f t="shared" si="0"/>
        <v>8</v>
      </c>
      <c r="K24" s="16">
        <f t="shared" si="1"/>
        <v>24</v>
      </c>
      <c r="L24" s="16" t="s">
        <v>2</v>
      </c>
      <c r="M24" s="16">
        <f t="shared" si="2"/>
        <v>9</v>
      </c>
      <c r="N24" s="16">
        <f t="shared" si="3"/>
        <v>27</v>
      </c>
      <c r="O24" s="16" t="s">
        <v>5</v>
      </c>
      <c r="P24" s="16">
        <f t="shared" si="4"/>
        <v>6</v>
      </c>
      <c r="Q24" s="16">
        <f t="shared" si="5"/>
        <v>24</v>
      </c>
      <c r="R24" s="16" t="s">
        <v>2</v>
      </c>
      <c r="S24" s="16">
        <f t="shared" si="6"/>
        <v>9</v>
      </c>
      <c r="T24" s="16">
        <f t="shared" si="7"/>
        <v>36</v>
      </c>
      <c r="U24" s="16" t="s">
        <v>8</v>
      </c>
      <c r="V24" s="16">
        <f t="shared" si="8"/>
        <v>10</v>
      </c>
      <c r="W24" s="16">
        <f t="shared" si="9"/>
        <v>30</v>
      </c>
      <c r="X24" s="16" t="s">
        <v>3</v>
      </c>
      <c r="Y24" s="16">
        <f t="shared" si="10"/>
        <v>8</v>
      </c>
      <c r="Z24" s="16">
        <f t="shared" si="11"/>
        <v>8</v>
      </c>
      <c r="AA24" s="16">
        <f t="shared" si="12"/>
        <v>50</v>
      </c>
      <c r="AB24" s="16">
        <f t="shared" si="12"/>
        <v>149</v>
      </c>
      <c r="AC24" s="11" t="s">
        <v>17</v>
      </c>
      <c r="AD24" s="4">
        <v>8.2777777777777786</v>
      </c>
    </row>
    <row r="25" spans="1:30" s="5" customFormat="1" ht="42" customHeight="1">
      <c r="A25" s="2">
        <v>24</v>
      </c>
      <c r="B25" s="12">
        <v>2544640160</v>
      </c>
      <c r="C25" s="12">
        <v>250371505037</v>
      </c>
      <c r="D25" s="17">
        <f t="shared" si="13"/>
        <v>250024</v>
      </c>
      <c r="E25" s="13" t="s">
        <v>284</v>
      </c>
      <c r="F25" s="12" t="s">
        <v>23</v>
      </c>
      <c r="G25" s="19" t="s">
        <v>15</v>
      </c>
      <c r="H25" s="19" t="s">
        <v>34</v>
      </c>
      <c r="I25" s="16" t="s">
        <v>3</v>
      </c>
      <c r="J25" s="16">
        <f t="shared" si="0"/>
        <v>8</v>
      </c>
      <c r="K25" s="16">
        <f t="shared" si="1"/>
        <v>24</v>
      </c>
      <c r="L25" s="16" t="s">
        <v>2</v>
      </c>
      <c r="M25" s="16">
        <f t="shared" si="2"/>
        <v>9</v>
      </c>
      <c r="N25" s="16">
        <f t="shared" si="3"/>
        <v>27</v>
      </c>
      <c r="O25" s="16" t="s">
        <v>3</v>
      </c>
      <c r="P25" s="16">
        <f t="shared" si="4"/>
        <v>8</v>
      </c>
      <c r="Q25" s="16">
        <f t="shared" si="5"/>
        <v>32</v>
      </c>
      <c r="R25" s="16" t="s">
        <v>2</v>
      </c>
      <c r="S25" s="16">
        <f t="shared" si="6"/>
        <v>9</v>
      </c>
      <c r="T25" s="16">
        <f t="shared" si="7"/>
        <v>36</v>
      </c>
      <c r="U25" s="16" t="s">
        <v>4</v>
      </c>
      <c r="V25" s="16">
        <f t="shared" si="8"/>
        <v>7</v>
      </c>
      <c r="W25" s="16">
        <f t="shared" si="9"/>
        <v>21</v>
      </c>
      <c r="X25" s="16" t="s">
        <v>2</v>
      </c>
      <c r="Y25" s="16">
        <f t="shared" si="10"/>
        <v>9</v>
      </c>
      <c r="Z25" s="16">
        <f t="shared" si="11"/>
        <v>9</v>
      </c>
      <c r="AA25" s="16">
        <f t="shared" si="12"/>
        <v>50</v>
      </c>
      <c r="AB25" s="16">
        <f t="shared" si="12"/>
        <v>149</v>
      </c>
      <c r="AC25" s="11" t="s">
        <v>17</v>
      </c>
      <c r="AD25" s="4">
        <v>8.2777777777777786</v>
      </c>
    </row>
    <row r="26" spans="1:30" s="5" customFormat="1" ht="42" customHeight="1">
      <c r="A26" s="2">
        <v>25</v>
      </c>
      <c r="B26" s="12">
        <v>2544640076</v>
      </c>
      <c r="C26" s="12">
        <v>250371505041</v>
      </c>
      <c r="D26" s="17">
        <f t="shared" si="13"/>
        <v>250025</v>
      </c>
      <c r="E26" s="13" t="s">
        <v>285</v>
      </c>
      <c r="F26" s="12" t="s">
        <v>23</v>
      </c>
      <c r="G26" s="19" t="s">
        <v>15</v>
      </c>
      <c r="H26" s="19" t="s">
        <v>34</v>
      </c>
      <c r="I26" s="16" t="s">
        <v>4</v>
      </c>
      <c r="J26" s="16">
        <f t="shared" si="0"/>
        <v>7</v>
      </c>
      <c r="K26" s="16">
        <f t="shared" si="1"/>
        <v>21</v>
      </c>
      <c r="L26" s="16" t="s">
        <v>2</v>
      </c>
      <c r="M26" s="16">
        <f t="shared" si="2"/>
        <v>9</v>
      </c>
      <c r="N26" s="16">
        <f t="shared" si="3"/>
        <v>27</v>
      </c>
      <c r="O26" s="16" t="s">
        <v>5</v>
      </c>
      <c r="P26" s="16">
        <f t="shared" si="4"/>
        <v>6</v>
      </c>
      <c r="Q26" s="16">
        <f t="shared" si="5"/>
        <v>24</v>
      </c>
      <c r="R26" s="16" t="s">
        <v>2</v>
      </c>
      <c r="S26" s="16">
        <f t="shared" si="6"/>
        <v>9</v>
      </c>
      <c r="T26" s="16">
        <f t="shared" si="7"/>
        <v>36</v>
      </c>
      <c r="U26" s="16" t="s">
        <v>4</v>
      </c>
      <c r="V26" s="16">
        <f t="shared" si="8"/>
        <v>7</v>
      </c>
      <c r="W26" s="16">
        <f t="shared" si="9"/>
        <v>21</v>
      </c>
      <c r="X26" s="16" t="s">
        <v>8</v>
      </c>
      <c r="Y26" s="16">
        <f t="shared" si="10"/>
        <v>10</v>
      </c>
      <c r="Z26" s="16">
        <f t="shared" si="11"/>
        <v>10</v>
      </c>
      <c r="AA26" s="16">
        <f t="shared" si="12"/>
        <v>48</v>
      </c>
      <c r="AB26" s="16">
        <f t="shared" si="12"/>
        <v>139</v>
      </c>
      <c r="AC26" s="11" t="s">
        <v>17</v>
      </c>
      <c r="AD26" s="4">
        <v>7.7222222222222223</v>
      </c>
    </row>
    <row r="27" spans="1:30" s="5" customFormat="1" ht="42" customHeight="1">
      <c r="A27" s="2">
        <v>26</v>
      </c>
      <c r="B27" s="12">
        <v>2544640299</v>
      </c>
      <c r="C27" s="12">
        <v>250371505043</v>
      </c>
      <c r="D27" s="17">
        <f t="shared" si="13"/>
        <v>250026</v>
      </c>
      <c r="E27" s="13" t="s">
        <v>286</v>
      </c>
      <c r="F27" s="12" t="s">
        <v>23</v>
      </c>
      <c r="G27" s="19" t="s">
        <v>15</v>
      </c>
      <c r="H27" s="19" t="s">
        <v>34</v>
      </c>
      <c r="I27" s="16" t="s">
        <v>3</v>
      </c>
      <c r="J27" s="16">
        <f t="shared" si="0"/>
        <v>8</v>
      </c>
      <c r="K27" s="16">
        <f t="shared" si="1"/>
        <v>24</v>
      </c>
      <c r="L27" s="16" t="s">
        <v>3</v>
      </c>
      <c r="M27" s="16">
        <f t="shared" si="2"/>
        <v>8</v>
      </c>
      <c r="N27" s="16">
        <f t="shared" si="3"/>
        <v>24</v>
      </c>
      <c r="O27" s="16" t="s">
        <v>3</v>
      </c>
      <c r="P27" s="16">
        <f t="shared" si="4"/>
        <v>8</v>
      </c>
      <c r="Q27" s="16">
        <f t="shared" si="5"/>
        <v>32</v>
      </c>
      <c r="R27" s="16" t="s">
        <v>2</v>
      </c>
      <c r="S27" s="16">
        <f t="shared" si="6"/>
        <v>9</v>
      </c>
      <c r="T27" s="16">
        <f t="shared" si="7"/>
        <v>36</v>
      </c>
      <c r="U27" s="16" t="s">
        <v>2</v>
      </c>
      <c r="V27" s="16">
        <f t="shared" si="8"/>
        <v>9</v>
      </c>
      <c r="W27" s="16">
        <f t="shared" si="9"/>
        <v>27</v>
      </c>
      <c r="X27" s="16" t="s">
        <v>2</v>
      </c>
      <c r="Y27" s="16">
        <f t="shared" si="10"/>
        <v>9</v>
      </c>
      <c r="Z27" s="16">
        <f t="shared" si="11"/>
        <v>9</v>
      </c>
      <c r="AA27" s="16">
        <f t="shared" si="12"/>
        <v>51</v>
      </c>
      <c r="AB27" s="16">
        <f t="shared" si="12"/>
        <v>152</v>
      </c>
      <c r="AC27" s="11" t="s">
        <v>17</v>
      </c>
      <c r="AD27" s="4">
        <v>8.4444444444444446</v>
      </c>
    </row>
    <row r="28" spans="1:30" s="5" customFormat="1" ht="42" customHeight="1">
      <c r="A28" s="2">
        <v>27</v>
      </c>
      <c r="B28" s="12">
        <v>2544640314</v>
      </c>
      <c r="C28" s="12">
        <v>250371505044</v>
      </c>
      <c r="D28" s="17">
        <f t="shared" si="13"/>
        <v>250027</v>
      </c>
      <c r="E28" s="13" t="s">
        <v>287</v>
      </c>
      <c r="F28" s="12" t="s">
        <v>23</v>
      </c>
      <c r="G28" s="19" t="s">
        <v>15</v>
      </c>
      <c r="H28" s="19" t="s">
        <v>34</v>
      </c>
      <c r="I28" s="16" t="s">
        <v>3</v>
      </c>
      <c r="J28" s="16">
        <f t="shared" si="0"/>
        <v>8</v>
      </c>
      <c r="K28" s="16">
        <f t="shared" si="1"/>
        <v>24</v>
      </c>
      <c r="L28" s="16" t="s">
        <v>8</v>
      </c>
      <c r="M28" s="16">
        <f t="shared" si="2"/>
        <v>10</v>
      </c>
      <c r="N28" s="16">
        <f t="shared" si="3"/>
        <v>30</v>
      </c>
      <c r="O28" s="16" t="s">
        <v>6</v>
      </c>
      <c r="P28" s="16">
        <f t="shared" si="4"/>
        <v>5</v>
      </c>
      <c r="Q28" s="16">
        <f t="shared" si="5"/>
        <v>20</v>
      </c>
      <c r="R28" s="16" t="s">
        <v>2</v>
      </c>
      <c r="S28" s="16">
        <f t="shared" si="6"/>
        <v>9</v>
      </c>
      <c r="T28" s="16">
        <f t="shared" si="7"/>
        <v>36</v>
      </c>
      <c r="U28" s="16" t="s">
        <v>2</v>
      </c>
      <c r="V28" s="16">
        <f t="shared" si="8"/>
        <v>9</v>
      </c>
      <c r="W28" s="16">
        <f t="shared" si="9"/>
        <v>27</v>
      </c>
      <c r="X28" s="16" t="s">
        <v>2</v>
      </c>
      <c r="Y28" s="16">
        <f t="shared" si="10"/>
        <v>9</v>
      </c>
      <c r="Z28" s="16">
        <f t="shared" si="11"/>
        <v>9</v>
      </c>
      <c r="AA28" s="16">
        <f t="shared" si="12"/>
        <v>50</v>
      </c>
      <c r="AB28" s="16">
        <f t="shared" si="12"/>
        <v>146</v>
      </c>
      <c r="AC28" s="11" t="s">
        <v>17</v>
      </c>
      <c r="AD28" s="4">
        <v>8.1111111111111107</v>
      </c>
    </row>
    <row r="29" spans="1:30" s="5" customFormat="1" ht="42" customHeight="1">
      <c r="A29" s="2">
        <v>28</v>
      </c>
      <c r="B29" s="12">
        <v>2544640217</v>
      </c>
      <c r="C29" s="12">
        <v>250371505046</v>
      </c>
      <c r="D29" s="17">
        <f t="shared" si="13"/>
        <v>250028</v>
      </c>
      <c r="E29" s="13" t="s">
        <v>288</v>
      </c>
      <c r="F29" s="12" t="s">
        <v>23</v>
      </c>
      <c r="G29" s="19" t="s">
        <v>15</v>
      </c>
      <c r="H29" s="19" t="s">
        <v>34</v>
      </c>
      <c r="I29" s="16" t="s">
        <v>3</v>
      </c>
      <c r="J29" s="16">
        <f t="shared" si="0"/>
        <v>8</v>
      </c>
      <c r="K29" s="16">
        <f t="shared" si="1"/>
        <v>24</v>
      </c>
      <c r="L29" s="16" t="s">
        <v>8</v>
      </c>
      <c r="M29" s="16">
        <f t="shared" si="2"/>
        <v>10</v>
      </c>
      <c r="N29" s="16">
        <f t="shared" si="3"/>
        <v>30</v>
      </c>
      <c r="O29" s="16" t="s">
        <v>3</v>
      </c>
      <c r="P29" s="16">
        <f t="shared" si="4"/>
        <v>8</v>
      </c>
      <c r="Q29" s="16">
        <f t="shared" si="5"/>
        <v>32</v>
      </c>
      <c r="R29" s="16" t="s">
        <v>8</v>
      </c>
      <c r="S29" s="16">
        <f t="shared" si="6"/>
        <v>10</v>
      </c>
      <c r="T29" s="16">
        <f t="shared" si="7"/>
        <v>40</v>
      </c>
      <c r="U29" s="16" t="s">
        <v>8</v>
      </c>
      <c r="V29" s="16">
        <f t="shared" si="8"/>
        <v>10</v>
      </c>
      <c r="W29" s="16">
        <f t="shared" si="9"/>
        <v>30</v>
      </c>
      <c r="X29" s="16" t="s">
        <v>8</v>
      </c>
      <c r="Y29" s="16">
        <f t="shared" si="10"/>
        <v>10</v>
      </c>
      <c r="Z29" s="16">
        <f t="shared" si="11"/>
        <v>10</v>
      </c>
      <c r="AA29" s="16">
        <f t="shared" si="12"/>
        <v>56</v>
      </c>
      <c r="AB29" s="16">
        <f t="shared" si="12"/>
        <v>166</v>
      </c>
      <c r="AC29" s="11" t="s">
        <v>17</v>
      </c>
      <c r="AD29" s="4">
        <v>9.2222222222222214</v>
      </c>
    </row>
    <row r="30" spans="1:30" s="5" customFormat="1" ht="42" customHeight="1">
      <c r="A30" s="2">
        <v>29</v>
      </c>
      <c r="B30" s="12">
        <v>2544640132</v>
      </c>
      <c r="C30" s="12">
        <v>250371505049</v>
      </c>
      <c r="D30" s="17">
        <f t="shared" si="13"/>
        <v>250029</v>
      </c>
      <c r="E30" s="13" t="s">
        <v>289</v>
      </c>
      <c r="F30" s="12" t="s">
        <v>23</v>
      </c>
      <c r="G30" s="19" t="s">
        <v>15</v>
      </c>
      <c r="H30" s="19" t="s">
        <v>34</v>
      </c>
      <c r="I30" s="16" t="s">
        <v>2</v>
      </c>
      <c r="J30" s="16">
        <f t="shared" si="0"/>
        <v>9</v>
      </c>
      <c r="K30" s="16">
        <f t="shared" si="1"/>
        <v>27</v>
      </c>
      <c r="L30" s="16" t="s">
        <v>8</v>
      </c>
      <c r="M30" s="16">
        <f t="shared" si="2"/>
        <v>10</v>
      </c>
      <c r="N30" s="16">
        <f t="shared" si="3"/>
        <v>30</v>
      </c>
      <c r="O30" s="16" t="s">
        <v>4</v>
      </c>
      <c r="P30" s="16">
        <f t="shared" si="4"/>
        <v>7</v>
      </c>
      <c r="Q30" s="16">
        <f t="shared" si="5"/>
        <v>28</v>
      </c>
      <c r="R30" s="16" t="s">
        <v>8</v>
      </c>
      <c r="S30" s="16">
        <f t="shared" si="6"/>
        <v>10</v>
      </c>
      <c r="T30" s="16">
        <f t="shared" si="7"/>
        <v>40</v>
      </c>
      <c r="U30" s="16" t="s">
        <v>8</v>
      </c>
      <c r="V30" s="16">
        <f t="shared" si="8"/>
        <v>10</v>
      </c>
      <c r="W30" s="16">
        <f t="shared" si="9"/>
        <v>30</v>
      </c>
      <c r="X30" s="16" t="s">
        <v>8</v>
      </c>
      <c r="Y30" s="16">
        <f t="shared" si="10"/>
        <v>10</v>
      </c>
      <c r="Z30" s="16">
        <f t="shared" si="11"/>
        <v>10</v>
      </c>
      <c r="AA30" s="16">
        <f t="shared" si="12"/>
        <v>56</v>
      </c>
      <c r="AB30" s="16">
        <f t="shared" si="12"/>
        <v>165</v>
      </c>
      <c r="AC30" s="11" t="s">
        <v>17</v>
      </c>
      <c r="AD30" s="4">
        <v>9.1666666666666661</v>
      </c>
    </row>
    <row r="31" spans="1:30" s="5" customFormat="1" ht="42" customHeight="1">
      <c r="A31" s="2">
        <v>30</v>
      </c>
      <c r="B31" s="12">
        <v>2544640053</v>
      </c>
      <c r="C31" s="12">
        <v>250371505050</v>
      </c>
      <c r="D31" s="17">
        <f t="shared" si="13"/>
        <v>250030</v>
      </c>
      <c r="E31" s="13" t="s">
        <v>290</v>
      </c>
      <c r="F31" s="12" t="s">
        <v>23</v>
      </c>
      <c r="G31" s="19" t="s">
        <v>15</v>
      </c>
      <c r="H31" s="19" t="s">
        <v>34</v>
      </c>
      <c r="I31" s="16" t="s">
        <v>4</v>
      </c>
      <c r="J31" s="16">
        <f t="shared" si="0"/>
        <v>7</v>
      </c>
      <c r="K31" s="16">
        <f t="shared" si="1"/>
        <v>21</v>
      </c>
      <c r="L31" s="16" t="s">
        <v>3</v>
      </c>
      <c r="M31" s="16">
        <f t="shared" si="2"/>
        <v>8</v>
      </c>
      <c r="N31" s="16">
        <f t="shared" si="3"/>
        <v>24</v>
      </c>
      <c r="O31" s="16" t="s">
        <v>4</v>
      </c>
      <c r="P31" s="16">
        <f t="shared" si="4"/>
        <v>7</v>
      </c>
      <c r="Q31" s="16">
        <f t="shared" si="5"/>
        <v>28</v>
      </c>
      <c r="R31" s="16" t="s">
        <v>8</v>
      </c>
      <c r="S31" s="16">
        <f t="shared" si="6"/>
        <v>10</v>
      </c>
      <c r="T31" s="16">
        <f t="shared" si="7"/>
        <v>40</v>
      </c>
      <c r="U31" s="16" t="s">
        <v>3</v>
      </c>
      <c r="V31" s="16">
        <f t="shared" si="8"/>
        <v>8</v>
      </c>
      <c r="W31" s="16">
        <f t="shared" si="9"/>
        <v>24</v>
      </c>
      <c r="X31" s="16" t="s">
        <v>8</v>
      </c>
      <c r="Y31" s="16">
        <f t="shared" si="10"/>
        <v>10</v>
      </c>
      <c r="Z31" s="16">
        <f t="shared" si="11"/>
        <v>10</v>
      </c>
      <c r="AA31" s="16">
        <f t="shared" si="12"/>
        <v>50</v>
      </c>
      <c r="AB31" s="16">
        <f t="shared" si="12"/>
        <v>147</v>
      </c>
      <c r="AC31" s="11" t="s">
        <v>17</v>
      </c>
      <c r="AD31" s="4">
        <v>8.1666666666666661</v>
      </c>
    </row>
    <row r="32" spans="1:30" s="5" customFormat="1" ht="42" customHeight="1">
      <c r="A32" s="2">
        <v>31</v>
      </c>
      <c r="B32" s="12">
        <v>2544640075</v>
      </c>
      <c r="C32" s="12">
        <v>250371505051</v>
      </c>
      <c r="D32" s="17">
        <f t="shared" si="13"/>
        <v>250031</v>
      </c>
      <c r="E32" s="13" t="s">
        <v>291</v>
      </c>
      <c r="F32" s="12" t="s">
        <v>23</v>
      </c>
      <c r="G32" s="19" t="s">
        <v>15</v>
      </c>
      <c r="H32" s="19" t="s">
        <v>34</v>
      </c>
      <c r="I32" s="16" t="s">
        <v>3</v>
      </c>
      <c r="J32" s="16">
        <f t="shared" si="0"/>
        <v>8</v>
      </c>
      <c r="K32" s="16">
        <f t="shared" si="1"/>
        <v>24</v>
      </c>
      <c r="L32" s="16" t="s">
        <v>3</v>
      </c>
      <c r="M32" s="16">
        <f t="shared" si="2"/>
        <v>8</v>
      </c>
      <c r="N32" s="16">
        <f t="shared" si="3"/>
        <v>24</v>
      </c>
      <c r="O32" s="16" t="s">
        <v>3</v>
      </c>
      <c r="P32" s="16">
        <f t="shared" si="4"/>
        <v>8</v>
      </c>
      <c r="Q32" s="16">
        <f t="shared" si="5"/>
        <v>32</v>
      </c>
      <c r="R32" s="16" t="s">
        <v>2</v>
      </c>
      <c r="S32" s="16">
        <f t="shared" si="6"/>
        <v>9</v>
      </c>
      <c r="T32" s="16">
        <f t="shared" si="7"/>
        <v>36</v>
      </c>
      <c r="U32" s="16" t="s">
        <v>3</v>
      </c>
      <c r="V32" s="16">
        <f t="shared" si="8"/>
        <v>8</v>
      </c>
      <c r="W32" s="16">
        <f t="shared" si="9"/>
        <v>24</v>
      </c>
      <c r="X32" s="16" t="s">
        <v>2</v>
      </c>
      <c r="Y32" s="16">
        <f t="shared" si="10"/>
        <v>9</v>
      </c>
      <c r="Z32" s="16">
        <f t="shared" si="11"/>
        <v>9</v>
      </c>
      <c r="AA32" s="16">
        <f t="shared" si="12"/>
        <v>50</v>
      </c>
      <c r="AB32" s="16">
        <f t="shared" si="12"/>
        <v>149</v>
      </c>
      <c r="AC32" s="11" t="s">
        <v>17</v>
      </c>
      <c r="AD32" s="4">
        <v>8.2777777777777786</v>
      </c>
    </row>
    <row r="33" spans="1:30" s="5" customFormat="1" ht="42" customHeight="1">
      <c r="A33" s="2">
        <v>32</v>
      </c>
      <c r="B33" s="12">
        <v>2544640036</v>
      </c>
      <c r="C33" s="12">
        <v>250371505052</v>
      </c>
      <c r="D33" s="17">
        <f t="shared" si="13"/>
        <v>250032</v>
      </c>
      <c r="E33" s="13" t="s">
        <v>292</v>
      </c>
      <c r="F33" s="12" t="s">
        <v>23</v>
      </c>
      <c r="G33" s="19" t="s">
        <v>15</v>
      </c>
      <c r="H33" s="19" t="s">
        <v>34</v>
      </c>
      <c r="I33" s="16" t="s">
        <v>2</v>
      </c>
      <c r="J33" s="16">
        <f t="shared" si="0"/>
        <v>9</v>
      </c>
      <c r="K33" s="16">
        <f t="shared" si="1"/>
        <v>27</v>
      </c>
      <c r="L33" s="16" t="s">
        <v>8</v>
      </c>
      <c r="M33" s="16">
        <f t="shared" si="2"/>
        <v>10</v>
      </c>
      <c r="N33" s="16">
        <f t="shared" si="3"/>
        <v>30</v>
      </c>
      <c r="O33" s="16" t="s">
        <v>2</v>
      </c>
      <c r="P33" s="16">
        <f t="shared" si="4"/>
        <v>9</v>
      </c>
      <c r="Q33" s="16">
        <f t="shared" si="5"/>
        <v>36</v>
      </c>
      <c r="R33" s="16" t="s">
        <v>8</v>
      </c>
      <c r="S33" s="16">
        <f t="shared" si="6"/>
        <v>10</v>
      </c>
      <c r="T33" s="16">
        <f t="shared" si="7"/>
        <v>40</v>
      </c>
      <c r="U33" s="16" t="s">
        <v>8</v>
      </c>
      <c r="V33" s="16">
        <f t="shared" si="8"/>
        <v>10</v>
      </c>
      <c r="W33" s="16">
        <f t="shared" si="9"/>
        <v>30</v>
      </c>
      <c r="X33" s="16" t="s">
        <v>8</v>
      </c>
      <c r="Y33" s="16">
        <f t="shared" si="10"/>
        <v>10</v>
      </c>
      <c r="Z33" s="16">
        <f t="shared" si="11"/>
        <v>10</v>
      </c>
      <c r="AA33" s="16">
        <f t="shared" si="12"/>
        <v>58</v>
      </c>
      <c r="AB33" s="16">
        <f t="shared" si="12"/>
        <v>173</v>
      </c>
      <c r="AC33" s="11" t="s">
        <v>17</v>
      </c>
      <c r="AD33" s="4">
        <v>9.6111111111111107</v>
      </c>
    </row>
    <row r="34" spans="1:30" s="5" customFormat="1" ht="42" customHeight="1">
      <c r="A34" s="2">
        <v>33</v>
      </c>
      <c r="B34" s="12">
        <v>2544640018</v>
      </c>
      <c r="C34" s="12">
        <v>250371505053</v>
      </c>
      <c r="D34" s="17">
        <f t="shared" si="13"/>
        <v>250033</v>
      </c>
      <c r="E34" s="13" t="s">
        <v>293</v>
      </c>
      <c r="F34" s="12" t="s">
        <v>23</v>
      </c>
      <c r="G34" s="19" t="s">
        <v>15</v>
      </c>
      <c r="H34" s="19" t="s">
        <v>34</v>
      </c>
      <c r="I34" s="16" t="s">
        <v>4</v>
      </c>
      <c r="J34" s="16">
        <f t="shared" si="0"/>
        <v>7</v>
      </c>
      <c r="K34" s="16">
        <f t="shared" si="1"/>
        <v>21</v>
      </c>
      <c r="L34" s="16" t="s">
        <v>4</v>
      </c>
      <c r="M34" s="16">
        <f t="shared" si="2"/>
        <v>7</v>
      </c>
      <c r="N34" s="16">
        <f t="shared" si="3"/>
        <v>21</v>
      </c>
      <c r="O34" s="16" t="s">
        <v>4</v>
      </c>
      <c r="P34" s="16">
        <f t="shared" si="4"/>
        <v>7</v>
      </c>
      <c r="Q34" s="16">
        <f t="shared" si="5"/>
        <v>28</v>
      </c>
      <c r="R34" s="16" t="s">
        <v>2</v>
      </c>
      <c r="S34" s="16">
        <f t="shared" si="6"/>
        <v>9</v>
      </c>
      <c r="T34" s="16">
        <f t="shared" si="7"/>
        <v>36</v>
      </c>
      <c r="U34" s="16" t="s">
        <v>8</v>
      </c>
      <c r="V34" s="16">
        <f t="shared" si="8"/>
        <v>10</v>
      </c>
      <c r="W34" s="16">
        <f t="shared" si="9"/>
        <v>30</v>
      </c>
      <c r="X34" s="16" t="s">
        <v>2</v>
      </c>
      <c r="Y34" s="16">
        <f t="shared" si="10"/>
        <v>9</v>
      </c>
      <c r="Z34" s="16">
        <f t="shared" si="11"/>
        <v>9</v>
      </c>
      <c r="AA34" s="16">
        <f t="shared" si="12"/>
        <v>49</v>
      </c>
      <c r="AB34" s="16">
        <f t="shared" si="12"/>
        <v>145</v>
      </c>
      <c r="AC34" s="11" t="s">
        <v>17</v>
      </c>
      <c r="AD34" s="4">
        <v>8.0555555555555554</v>
      </c>
    </row>
    <row r="35" spans="1:30" s="5" customFormat="1" ht="42" customHeight="1">
      <c r="A35" s="2">
        <v>34</v>
      </c>
      <c r="B35" s="12">
        <v>2544640428</v>
      </c>
      <c r="C35" s="12">
        <v>250371505057</v>
      </c>
      <c r="D35" s="17">
        <f t="shared" si="13"/>
        <v>250034</v>
      </c>
      <c r="E35" s="13" t="s">
        <v>294</v>
      </c>
      <c r="F35" s="12" t="s">
        <v>23</v>
      </c>
      <c r="G35" s="19" t="s">
        <v>15</v>
      </c>
      <c r="H35" s="19" t="s">
        <v>34</v>
      </c>
      <c r="I35" s="16" t="s">
        <v>3</v>
      </c>
      <c r="J35" s="16">
        <f t="shared" si="0"/>
        <v>8</v>
      </c>
      <c r="K35" s="16">
        <f t="shared" si="1"/>
        <v>24</v>
      </c>
      <c r="L35" s="16" t="s">
        <v>8</v>
      </c>
      <c r="M35" s="16">
        <f t="shared" si="2"/>
        <v>10</v>
      </c>
      <c r="N35" s="16">
        <f t="shared" si="3"/>
        <v>30</v>
      </c>
      <c r="O35" s="16" t="s">
        <v>8</v>
      </c>
      <c r="P35" s="16">
        <f t="shared" si="4"/>
        <v>10</v>
      </c>
      <c r="Q35" s="16">
        <f t="shared" si="5"/>
        <v>40</v>
      </c>
      <c r="R35" s="16" t="s">
        <v>8</v>
      </c>
      <c r="S35" s="16">
        <f t="shared" si="6"/>
        <v>10</v>
      </c>
      <c r="T35" s="16">
        <f t="shared" si="7"/>
        <v>40</v>
      </c>
      <c r="U35" s="16" t="s">
        <v>8</v>
      </c>
      <c r="V35" s="16">
        <f t="shared" si="8"/>
        <v>10</v>
      </c>
      <c r="W35" s="16">
        <f t="shared" si="9"/>
        <v>30</v>
      </c>
      <c r="X35" s="16" t="s">
        <v>8</v>
      </c>
      <c r="Y35" s="16">
        <f t="shared" si="10"/>
        <v>10</v>
      </c>
      <c r="Z35" s="16">
        <f t="shared" si="11"/>
        <v>10</v>
      </c>
      <c r="AA35" s="16">
        <f t="shared" si="12"/>
        <v>58</v>
      </c>
      <c r="AB35" s="16">
        <f t="shared" si="12"/>
        <v>174</v>
      </c>
      <c r="AC35" s="11" t="s">
        <v>17</v>
      </c>
      <c r="AD35" s="4">
        <v>9.6666666666666661</v>
      </c>
    </row>
    <row r="36" spans="1:30" s="5" customFormat="1" ht="42" customHeight="1">
      <c r="A36" s="2">
        <v>35</v>
      </c>
      <c r="B36" s="12">
        <v>2544640149</v>
      </c>
      <c r="C36" s="12">
        <v>250371505058</v>
      </c>
      <c r="D36" s="17">
        <f t="shared" si="13"/>
        <v>250035</v>
      </c>
      <c r="E36" s="13" t="s">
        <v>295</v>
      </c>
      <c r="F36" s="12" t="s">
        <v>23</v>
      </c>
      <c r="G36" s="19" t="s">
        <v>15</v>
      </c>
      <c r="H36" s="19" t="s">
        <v>34</v>
      </c>
      <c r="I36" s="16" t="s">
        <v>2</v>
      </c>
      <c r="J36" s="16">
        <f t="shared" si="0"/>
        <v>9</v>
      </c>
      <c r="K36" s="16">
        <f t="shared" si="1"/>
        <v>27</v>
      </c>
      <c r="L36" s="16" t="s">
        <v>4</v>
      </c>
      <c r="M36" s="16">
        <f t="shared" si="2"/>
        <v>7</v>
      </c>
      <c r="N36" s="16">
        <f t="shared" si="3"/>
        <v>21</v>
      </c>
      <c r="O36" s="16" t="s">
        <v>4</v>
      </c>
      <c r="P36" s="16">
        <f t="shared" si="4"/>
        <v>7</v>
      </c>
      <c r="Q36" s="16">
        <f t="shared" si="5"/>
        <v>28</v>
      </c>
      <c r="R36" s="16" t="s">
        <v>2</v>
      </c>
      <c r="S36" s="16">
        <f t="shared" si="6"/>
        <v>9</v>
      </c>
      <c r="T36" s="16">
        <f t="shared" si="7"/>
        <v>36</v>
      </c>
      <c r="U36" s="16" t="s">
        <v>3</v>
      </c>
      <c r="V36" s="16">
        <f t="shared" si="8"/>
        <v>8</v>
      </c>
      <c r="W36" s="16">
        <f t="shared" si="9"/>
        <v>24</v>
      </c>
      <c r="X36" s="16" t="s">
        <v>3</v>
      </c>
      <c r="Y36" s="16">
        <f t="shared" si="10"/>
        <v>8</v>
      </c>
      <c r="Z36" s="16">
        <f t="shared" si="11"/>
        <v>8</v>
      </c>
      <c r="AA36" s="16">
        <f t="shared" si="12"/>
        <v>48</v>
      </c>
      <c r="AB36" s="16">
        <f t="shared" si="12"/>
        <v>144</v>
      </c>
      <c r="AC36" s="11" t="s">
        <v>17</v>
      </c>
      <c r="AD36" s="4">
        <v>8</v>
      </c>
    </row>
    <row r="37" spans="1:30" s="5" customFormat="1" ht="42" customHeight="1">
      <c r="A37" s="2">
        <v>36</v>
      </c>
      <c r="B37" s="12">
        <v>2544640167</v>
      </c>
      <c r="C37" s="12">
        <v>250371505061</v>
      </c>
      <c r="D37" s="17">
        <f t="shared" si="13"/>
        <v>250036</v>
      </c>
      <c r="E37" s="13" t="s">
        <v>296</v>
      </c>
      <c r="F37" s="12" t="s">
        <v>23</v>
      </c>
      <c r="G37" s="19" t="s">
        <v>15</v>
      </c>
      <c r="H37" s="19" t="s">
        <v>34</v>
      </c>
      <c r="I37" s="16" t="s">
        <v>4</v>
      </c>
      <c r="J37" s="16">
        <f t="shared" si="0"/>
        <v>7</v>
      </c>
      <c r="K37" s="16">
        <f t="shared" si="1"/>
        <v>21</v>
      </c>
      <c r="L37" s="16" t="s">
        <v>2</v>
      </c>
      <c r="M37" s="16">
        <f t="shared" si="2"/>
        <v>9</v>
      </c>
      <c r="N37" s="16">
        <f t="shared" si="3"/>
        <v>27</v>
      </c>
      <c r="O37" s="16" t="s">
        <v>4</v>
      </c>
      <c r="P37" s="16">
        <f t="shared" si="4"/>
        <v>7</v>
      </c>
      <c r="Q37" s="16">
        <f t="shared" si="5"/>
        <v>28</v>
      </c>
      <c r="R37" s="16" t="s">
        <v>2</v>
      </c>
      <c r="S37" s="16">
        <f t="shared" si="6"/>
        <v>9</v>
      </c>
      <c r="T37" s="16">
        <f t="shared" si="7"/>
        <v>36</v>
      </c>
      <c r="U37" s="16" t="s">
        <v>2</v>
      </c>
      <c r="V37" s="16">
        <f t="shared" si="8"/>
        <v>9</v>
      </c>
      <c r="W37" s="16">
        <f t="shared" si="9"/>
        <v>27</v>
      </c>
      <c r="X37" s="16" t="s">
        <v>2</v>
      </c>
      <c r="Y37" s="16">
        <f t="shared" si="10"/>
        <v>9</v>
      </c>
      <c r="Z37" s="16">
        <f t="shared" si="11"/>
        <v>9</v>
      </c>
      <c r="AA37" s="16">
        <f t="shared" si="12"/>
        <v>50</v>
      </c>
      <c r="AB37" s="16">
        <f t="shared" si="12"/>
        <v>148</v>
      </c>
      <c r="AC37" s="11" t="s">
        <v>17</v>
      </c>
      <c r="AD37" s="4">
        <v>8.2222222222222214</v>
      </c>
    </row>
    <row r="38" spans="1:30" s="5" customFormat="1" ht="42" customHeight="1">
      <c r="A38" s="2">
        <v>37</v>
      </c>
      <c r="B38" s="12">
        <v>2544640787</v>
      </c>
      <c r="C38" s="12">
        <v>250371505063</v>
      </c>
      <c r="D38" s="17">
        <f t="shared" si="13"/>
        <v>250037</v>
      </c>
      <c r="E38" s="13" t="s">
        <v>297</v>
      </c>
      <c r="F38" s="12" t="s">
        <v>23</v>
      </c>
      <c r="G38" s="19" t="s">
        <v>15</v>
      </c>
      <c r="H38" s="19" t="s">
        <v>34</v>
      </c>
      <c r="I38" s="16" t="s">
        <v>2</v>
      </c>
      <c r="J38" s="16">
        <f t="shared" si="0"/>
        <v>9</v>
      </c>
      <c r="K38" s="16">
        <f t="shared" si="1"/>
        <v>27</v>
      </c>
      <c r="L38" s="16" t="s">
        <v>5</v>
      </c>
      <c r="M38" s="16">
        <f t="shared" si="2"/>
        <v>6</v>
      </c>
      <c r="N38" s="16">
        <f t="shared" si="3"/>
        <v>18</v>
      </c>
      <c r="O38" s="16" t="s">
        <v>4</v>
      </c>
      <c r="P38" s="16">
        <f t="shared" si="4"/>
        <v>7</v>
      </c>
      <c r="Q38" s="16">
        <f t="shared" si="5"/>
        <v>28</v>
      </c>
      <c r="R38" s="16" t="s">
        <v>2</v>
      </c>
      <c r="S38" s="16">
        <f t="shared" si="6"/>
        <v>9</v>
      </c>
      <c r="T38" s="16">
        <f t="shared" si="7"/>
        <v>36</v>
      </c>
      <c r="U38" s="16" t="s">
        <v>2</v>
      </c>
      <c r="V38" s="16">
        <f t="shared" si="8"/>
        <v>9</v>
      </c>
      <c r="W38" s="16">
        <f t="shared" si="9"/>
        <v>27</v>
      </c>
      <c r="X38" s="16" t="s">
        <v>2</v>
      </c>
      <c r="Y38" s="16">
        <f t="shared" si="10"/>
        <v>9</v>
      </c>
      <c r="Z38" s="16">
        <f t="shared" si="11"/>
        <v>9</v>
      </c>
      <c r="AA38" s="16">
        <f t="shared" si="12"/>
        <v>49</v>
      </c>
      <c r="AB38" s="16">
        <f t="shared" si="12"/>
        <v>145</v>
      </c>
      <c r="AC38" s="11" t="s">
        <v>17</v>
      </c>
      <c r="AD38" s="4">
        <v>8.0555555555555554</v>
      </c>
    </row>
    <row r="39" spans="1:30" s="5" customFormat="1" ht="42" customHeight="1">
      <c r="A39" s="2">
        <v>38</v>
      </c>
      <c r="B39" s="12">
        <v>2544640189</v>
      </c>
      <c r="C39" s="12">
        <v>250371505064</v>
      </c>
      <c r="D39" s="17">
        <f t="shared" si="13"/>
        <v>250038</v>
      </c>
      <c r="E39" s="13" t="s">
        <v>298</v>
      </c>
      <c r="F39" s="12" t="s">
        <v>23</v>
      </c>
      <c r="G39" s="19" t="s">
        <v>15</v>
      </c>
      <c r="H39" s="19" t="s">
        <v>34</v>
      </c>
      <c r="I39" s="16" t="s">
        <v>5</v>
      </c>
      <c r="J39" s="16">
        <f t="shared" si="0"/>
        <v>6</v>
      </c>
      <c r="K39" s="16">
        <f t="shared" si="1"/>
        <v>18</v>
      </c>
      <c r="L39" s="16" t="s">
        <v>3</v>
      </c>
      <c r="M39" s="16">
        <f t="shared" si="2"/>
        <v>8</v>
      </c>
      <c r="N39" s="16">
        <f t="shared" si="3"/>
        <v>24</v>
      </c>
      <c r="O39" s="16" t="s">
        <v>5</v>
      </c>
      <c r="P39" s="16">
        <f t="shared" si="4"/>
        <v>6</v>
      </c>
      <c r="Q39" s="16">
        <f t="shared" si="5"/>
        <v>24</v>
      </c>
      <c r="R39" s="16" t="s">
        <v>3</v>
      </c>
      <c r="S39" s="16">
        <f t="shared" si="6"/>
        <v>8</v>
      </c>
      <c r="T39" s="16">
        <f t="shared" si="7"/>
        <v>32</v>
      </c>
      <c r="U39" s="16" t="s">
        <v>4</v>
      </c>
      <c r="V39" s="16">
        <f t="shared" si="8"/>
        <v>7</v>
      </c>
      <c r="W39" s="16">
        <f t="shared" si="9"/>
        <v>21</v>
      </c>
      <c r="X39" s="16" t="s">
        <v>2</v>
      </c>
      <c r="Y39" s="16">
        <f t="shared" si="10"/>
        <v>9</v>
      </c>
      <c r="Z39" s="16">
        <f t="shared" si="11"/>
        <v>9</v>
      </c>
      <c r="AA39" s="16">
        <f t="shared" si="12"/>
        <v>44</v>
      </c>
      <c r="AB39" s="16">
        <f t="shared" si="12"/>
        <v>128</v>
      </c>
      <c r="AC39" s="11" t="s">
        <v>17</v>
      </c>
      <c r="AD39" s="4">
        <v>7.1111111111111107</v>
      </c>
    </row>
    <row r="40" spans="1:30" s="5" customFormat="1" ht="42" customHeight="1">
      <c r="A40" s="2">
        <v>39</v>
      </c>
      <c r="B40" s="12">
        <v>2544640256</v>
      </c>
      <c r="C40" s="12">
        <v>250371505065</v>
      </c>
      <c r="D40" s="17">
        <f t="shared" si="13"/>
        <v>250039</v>
      </c>
      <c r="E40" s="13" t="s">
        <v>299</v>
      </c>
      <c r="F40" s="12" t="s">
        <v>23</v>
      </c>
      <c r="G40" s="19" t="s">
        <v>15</v>
      </c>
      <c r="H40" s="19" t="s">
        <v>34</v>
      </c>
      <c r="I40" s="16" t="s">
        <v>4</v>
      </c>
      <c r="J40" s="16">
        <f t="shared" si="0"/>
        <v>7</v>
      </c>
      <c r="K40" s="16">
        <f t="shared" si="1"/>
        <v>21</v>
      </c>
      <c r="L40" s="16" t="s">
        <v>4</v>
      </c>
      <c r="M40" s="16">
        <f t="shared" si="2"/>
        <v>7</v>
      </c>
      <c r="N40" s="16">
        <f t="shared" si="3"/>
        <v>21</v>
      </c>
      <c r="O40" s="16" t="s">
        <v>4</v>
      </c>
      <c r="P40" s="16">
        <f t="shared" si="4"/>
        <v>7</v>
      </c>
      <c r="Q40" s="16">
        <f t="shared" si="5"/>
        <v>28</v>
      </c>
      <c r="R40" s="16" t="s">
        <v>8</v>
      </c>
      <c r="S40" s="16">
        <f t="shared" si="6"/>
        <v>10</v>
      </c>
      <c r="T40" s="16">
        <f t="shared" si="7"/>
        <v>40</v>
      </c>
      <c r="U40" s="16" t="s">
        <v>2</v>
      </c>
      <c r="V40" s="16">
        <f t="shared" si="8"/>
        <v>9</v>
      </c>
      <c r="W40" s="16">
        <f t="shared" si="9"/>
        <v>27</v>
      </c>
      <c r="X40" s="16" t="s">
        <v>2</v>
      </c>
      <c r="Y40" s="16">
        <f t="shared" si="10"/>
        <v>9</v>
      </c>
      <c r="Z40" s="16">
        <f t="shared" si="11"/>
        <v>9</v>
      </c>
      <c r="AA40" s="16">
        <f t="shared" si="12"/>
        <v>49</v>
      </c>
      <c r="AB40" s="16">
        <f t="shared" si="12"/>
        <v>146</v>
      </c>
      <c r="AC40" s="11" t="s">
        <v>17</v>
      </c>
      <c r="AD40" s="4">
        <v>8.1111111111111107</v>
      </c>
    </row>
    <row r="41" spans="1:30" s="5" customFormat="1" ht="42" customHeight="1">
      <c r="A41" s="2">
        <v>40</v>
      </c>
      <c r="B41" s="12">
        <v>2544640142</v>
      </c>
      <c r="C41" s="12">
        <v>250371505066</v>
      </c>
      <c r="D41" s="17">
        <f t="shared" si="13"/>
        <v>250040</v>
      </c>
      <c r="E41" s="13" t="s">
        <v>300</v>
      </c>
      <c r="F41" s="12" t="s">
        <v>23</v>
      </c>
      <c r="G41" s="19" t="s">
        <v>15</v>
      </c>
      <c r="H41" s="19" t="s">
        <v>34</v>
      </c>
      <c r="I41" s="16" t="s">
        <v>3</v>
      </c>
      <c r="J41" s="16">
        <f t="shared" si="0"/>
        <v>8</v>
      </c>
      <c r="K41" s="16">
        <f t="shared" si="1"/>
        <v>24</v>
      </c>
      <c r="L41" s="16" t="s">
        <v>11</v>
      </c>
      <c r="M41" s="16">
        <f t="shared" si="2"/>
        <v>4</v>
      </c>
      <c r="N41" s="16">
        <f t="shared" si="3"/>
        <v>12</v>
      </c>
      <c r="O41" s="16" t="s">
        <v>4</v>
      </c>
      <c r="P41" s="16">
        <f t="shared" si="4"/>
        <v>7</v>
      </c>
      <c r="Q41" s="16">
        <f t="shared" si="5"/>
        <v>28</v>
      </c>
      <c r="R41" s="16" t="s">
        <v>2</v>
      </c>
      <c r="S41" s="16">
        <f t="shared" si="6"/>
        <v>9</v>
      </c>
      <c r="T41" s="16">
        <f t="shared" si="7"/>
        <v>36</v>
      </c>
      <c r="U41" s="16" t="s">
        <v>3</v>
      </c>
      <c r="V41" s="16">
        <f t="shared" si="8"/>
        <v>8</v>
      </c>
      <c r="W41" s="16">
        <f t="shared" si="9"/>
        <v>24</v>
      </c>
      <c r="X41" s="16" t="s">
        <v>2</v>
      </c>
      <c r="Y41" s="16">
        <f t="shared" si="10"/>
        <v>9</v>
      </c>
      <c r="Z41" s="16">
        <f t="shared" si="11"/>
        <v>9</v>
      </c>
      <c r="AA41" s="16">
        <f t="shared" si="12"/>
        <v>45</v>
      </c>
      <c r="AB41" s="16">
        <f t="shared" si="12"/>
        <v>133</v>
      </c>
      <c r="AC41" s="11" t="s">
        <v>17</v>
      </c>
      <c r="AD41" s="4">
        <v>7.3888888888888893</v>
      </c>
    </row>
    <row r="42" spans="1:30" s="5" customFormat="1" ht="42" customHeight="1">
      <c r="A42" s="2">
        <v>41</v>
      </c>
      <c r="B42" s="12">
        <v>2544640328</v>
      </c>
      <c r="C42" s="12">
        <v>250371505067</v>
      </c>
      <c r="D42" s="17">
        <f t="shared" si="13"/>
        <v>250041</v>
      </c>
      <c r="E42" s="13" t="s">
        <v>301</v>
      </c>
      <c r="F42" s="12" t="s">
        <v>23</v>
      </c>
      <c r="G42" s="19" t="s">
        <v>15</v>
      </c>
      <c r="H42" s="19" t="s">
        <v>34</v>
      </c>
      <c r="I42" s="16" t="s">
        <v>2</v>
      </c>
      <c r="J42" s="16">
        <f t="shared" si="0"/>
        <v>9</v>
      </c>
      <c r="K42" s="16">
        <f t="shared" si="1"/>
        <v>27</v>
      </c>
      <c r="L42" s="16" t="s">
        <v>8</v>
      </c>
      <c r="M42" s="16">
        <f t="shared" si="2"/>
        <v>10</v>
      </c>
      <c r="N42" s="16">
        <f t="shared" si="3"/>
        <v>30</v>
      </c>
      <c r="O42" s="16" t="s">
        <v>3</v>
      </c>
      <c r="P42" s="16">
        <f t="shared" si="4"/>
        <v>8</v>
      </c>
      <c r="Q42" s="16">
        <f t="shared" si="5"/>
        <v>32</v>
      </c>
      <c r="R42" s="16" t="s">
        <v>8</v>
      </c>
      <c r="S42" s="16">
        <f t="shared" si="6"/>
        <v>10</v>
      </c>
      <c r="T42" s="16">
        <f t="shared" si="7"/>
        <v>40</v>
      </c>
      <c r="U42" s="16" t="s">
        <v>8</v>
      </c>
      <c r="V42" s="16">
        <f t="shared" si="8"/>
        <v>10</v>
      </c>
      <c r="W42" s="16">
        <f t="shared" si="9"/>
        <v>30</v>
      </c>
      <c r="X42" s="16" t="s">
        <v>8</v>
      </c>
      <c r="Y42" s="16">
        <f t="shared" si="10"/>
        <v>10</v>
      </c>
      <c r="Z42" s="16">
        <f t="shared" si="11"/>
        <v>10</v>
      </c>
      <c r="AA42" s="16">
        <f t="shared" si="12"/>
        <v>57</v>
      </c>
      <c r="AB42" s="16">
        <f t="shared" si="12"/>
        <v>169</v>
      </c>
      <c r="AC42" s="11" t="s">
        <v>17</v>
      </c>
      <c r="AD42" s="4">
        <v>9.3888888888888893</v>
      </c>
    </row>
    <row r="43" spans="1:30" s="5" customFormat="1" ht="42" customHeight="1">
      <c r="A43" s="2">
        <v>42</v>
      </c>
      <c r="B43" s="12">
        <v>2544640124</v>
      </c>
      <c r="C43" s="12">
        <v>250371505069</v>
      </c>
      <c r="D43" s="17">
        <f t="shared" si="13"/>
        <v>250042</v>
      </c>
      <c r="E43" s="13" t="s">
        <v>302</v>
      </c>
      <c r="F43" s="12" t="s">
        <v>23</v>
      </c>
      <c r="G43" s="19" t="s">
        <v>15</v>
      </c>
      <c r="H43" s="19" t="s">
        <v>34</v>
      </c>
      <c r="I43" s="16" t="s">
        <v>3</v>
      </c>
      <c r="J43" s="16">
        <f t="shared" si="0"/>
        <v>8</v>
      </c>
      <c r="K43" s="16">
        <f t="shared" si="1"/>
        <v>24</v>
      </c>
      <c r="L43" s="16" t="s">
        <v>2</v>
      </c>
      <c r="M43" s="16">
        <f t="shared" si="2"/>
        <v>9</v>
      </c>
      <c r="N43" s="16">
        <f t="shared" si="3"/>
        <v>27</v>
      </c>
      <c r="O43" s="16" t="s">
        <v>3</v>
      </c>
      <c r="P43" s="16">
        <f t="shared" si="4"/>
        <v>8</v>
      </c>
      <c r="Q43" s="16">
        <f t="shared" si="5"/>
        <v>32</v>
      </c>
      <c r="R43" s="16" t="s">
        <v>2</v>
      </c>
      <c r="S43" s="16">
        <f t="shared" si="6"/>
        <v>9</v>
      </c>
      <c r="T43" s="16">
        <f t="shared" si="7"/>
        <v>36</v>
      </c>
      <c r="U43" s="16" t="s">
        <v>8</v>
      </c>
      <c r="V43" s="16">
        <f t="shared" si="8"/>
        <v>10</v>
      </c>
      <c r="W43" s="16">
        <f t="shared" si="9"/>
        <v>30</v>
      </c>
      <c r="X43" s="16" t="s">
        <v>3</v>
      </c>
      <c r="Y43" s="16">
        <f t="shared" si="10"/>
        <v>8</v>
      </c>
      <c r="Z43" s="16">
        <f t="shared" si="11"/>
        <v>8</v>
      </c>
      <c r="AA43" s="16">
        <f t="shared" si="12"/>
        <v>52</v>
      </c>
      <c r="AB43" s="16">
        <f t="shared" si="12"/>
        <v>157</v>
      </c>
      <c r="AC43" s="11" t="s">
        <v>17</v>
      </c>
      <c r="AD43" s="4">
        <v>8.7222222222222214</v>
      </c>
    </row>
  </sheetData>
  <autoFilter ref="A1:AD43">
    <filterColumn colId="3"/>
    <filterColumn colId="7"/>
    <filterColumn colId="9"/>
    <filterColumn colId="10"/>
    <filterColumn colId="12"/>
    <filterColumn colId="13"/>
    <filterColumn colId="15"/>
    <filterColumn colId="16"/>
    <filterColumn colId="17"/>
    <filterColumn colId="18"/>
    <filterColumn colId="19"/>
    <filterColumn colId="20"/>
    <filterColumn colId="21"/>
    <filterColumn colId="22"/>
    <filterColumn colId="23"/>
    <filterColumn colId="24"/>
    <filterColumn colId="25"/>
    <filterColumn colId="26"/>
    <filterColumn colId="27"/>
    <filterColumn colId="28"/>
  </autoFilter>
  <printOptions horizontalCentered="1"/>
  <pageMargins left="0.4" right="0.32" top="0.53" bottom="0.59" header="0.3" footer="0.3"/>
  <pageSetup paperSize="8" scale="8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0B050"/>
  </sheetPr>
  <dimension ref="A1:S206"/>
  <sheetViews>
    <sheetView zoomScale="85" zoomScaleNormal="85" workbookViewId="0">
      <pane ySplit="2" topLeftCell="A45" activePane="bottomLeft" state="frozen"/>
      <selection activeCell="F20" sqref="F20"/>
      <selection pane="bottomLeft" activeCell="F20" sqref="F20"/>
    </sheetView>
  </sheetViews>
  <sheetFormatPr defaultRowHeight="15"/>
  <cols>
    <col min="1" max="1" width="6.5703125" style="6" bestFit="1" customWidth="1"/>
    <col min="2" max="2" width="16.28515625" style="6" customWidth="1"/>
    <col min="3" max="3" width="19.5703125" style="6" bestFit="1" customWidth="1"/>
    <col min="4" max="4" width="19.5703125" style="6" customWidth="1"/>
    <col min="5" max="5" width="44.5703125" style="6" customWidth="1"/>
    <col min="6" max="6" width="12.140625" style="9" customWidth="1"/>
    <col min="7" max="7" width="13.42578125" style="32" customWidth="1"/>
    <col min="8" max="8" width="13.42578125" style="6" customWidth="1"/>
    <col min="9" max="9" width="17.85546875" style="6" customWidth="1"/>
    <col min="10" max="10" width="18.5703125" style="6" customWidth="1"/>
    <col min="11" max="11" width="18.85546875" style="6" customWidth="1"/>
    <col min="12" max="16" width="17.85546875" style="6" customWidth="1"/>
    <col min="17" max="17" width="8.5703125" style="7" bestFit="1" customWidth="1"/>
    <col min="18" max="18" width="46.140625" style="6" customWidth="1"/>
    <col min="19" max="16384" width="9.140625" style="6"/>
  </cols>
  <sheetData>
    <row r="1" spans="1:19" s="8" customFormat="1" ht="127.5" customHeight="1">
      <c r="A1" s="53" t="s">
        <v>1</v>
      </c>
      <c r="B1" s="53" t="s">
        <v>16</v>
      </c>
      <c r="C1" s="53" t="s">
        <v>12</v>
      </c>
      <c r="D1" s="38" t="s">
        <v>1520</v>
      </c>
      <c r="E1" s="53" t="s">
        <v>13</v>
      </c>
      <c r="F1" s="53" t="s">
        <v>14</v>
      </c>
      <c r="G1" s="53" t="s">
        <v>0</v>
      </c>
      <c r="H1" s="53" t="s">
        <v>31</v>
      </c>
      <c r="I1" s="1" t="s">
        <v>78</v>
      </c>
      <c r="J1" s="1" t="s">
        <v>79</v>
      </c>
      <c r="K1" s="1" t="s">
        <v>80</v>
      </c>
      <c r="L1" s="1" t="s">
        <v>391</v>
      </c>
      <c r="M1" s="1" t="s">
        <v>393</v>
      </c>
      <c r="N1" s="1" t="s">
        <v>392</v>
      </c>
      <c r="O1" s="1" t="s">
        <v>394</v>
      </c>
      <c r="P1" s="1" t="s">
        <v>10</v>
      </c>
      <c r="Q1" s="55" t="s">
        <v>9</v>
      </c>
    </row>
    <row r="2" spans="1:19" s="8" customFormat="1" ht="29.25" customHeight="1">
      <c r="A2" s="54"/>
      <c r="B2" s="54"/>
      <c r="C2" s="54"/>
      <c r="D2" s="39"/>
      <c r="E2" s="54"/>
      <c r="F2" s="54"/>
      <c r="G2" s="54"/>
      <c r="H2" s="54"/>
      <c r="I2" s="10">
        <v>3</v>
      </c>
      <c r="J2" s="10">
        <v>3</v>
      </c>
      <c r="K2" s="10">
        <v>4</v>
      </c>
      <c r="L2" s="10">
        <v>3</v>
      </c>
      <c r="M2" s="10">
        <v>1</v>
      </c>
      <c r="N2" s="10">
        <v>3</v>
      </c>
      <c r="O2" s="10">
        <v>1</v>
      </c>
      <c r="P2" s="10">
        <f>SUM(I2:O2)</f>
        <v>18</v>
      </c>
      <c r="Q2" s="56"/>
      <c r="R2" s="8" t="s">
        <v>1542</v>
      </c>
      <c r="S2" s="8" t="s">
        <v>1543</v>
      </c>
    </row>
    <row r="3" spans="1:19" s="5" customFormat="1" ht="42" customHeight="1">
      <c r="A3" s="2">
        <v>1</v>
      </c>
      <c r="B3" s="12">
        <v>2544640918</v>
      </c>
      <c r="C3" s="21">
        <v>250371509001</v>
      </c>
      <c r="D3" s="17">
        <v>250070</v>
      </c>
      <c r="E3" s="22" t="s">
        <v>800</v>
      </c>
      <c r="F3" s="12" t="s">
        <v>29</v>
      </c>
      <c r="G3" s="20" t="s">
        <v>15</v>
      </c>
      <c r="H3" s="19" t="s">
        <v>34</v>
      </c>
      <c r="I3" s="16" t="s">
        <v>4</v>
      </c>
      <c r="J3" s="16" t="s">
        <v>4</v>
      </c>
      <c r="K3" s="16" t="s">
        <v>7</v>
      </c>
      <c r="L3" s="16" t="s">
        <v>4</v>
      </c>
      <c r="M3" s="16" t="s">
        <v>3</v>
      </c>
      <c r="N3" s="16" t="s">
        <v>7</v>
      </c>
      <c r="O3" s="16" t="s">
        <v>3</v>
      </c>
      <c r="P3" s="11" t="s">
        <v>7</v>
      </c>
      <c r="Q3" s="4">
        <v>0</v>
      </c>
      <c r="R3" s="5" t="s">
        <v>800</v>
      </c>
      <c r="S3" s="5" t="b">
        <f>R3=E3</f>
        <v>1</v>
      </c>
    </row>
    <row r="4" spans="1:19" s="5" customFormat="1" ht="42" customHeight="1">
      <c r="A4" s="2">
        <v>2</v>
      </c>
      <c r="B4" s="12">
        <v>2544640409</v>
      </c>
      <c r="C4" s="21">
        <v>250371509002</v>
      </c>
      <c r="D4" s="17">
        <f>D3+1</f>
        <v>250071</v>
      </c>
      <c r="E4" s="22" t="s">
        <v>1541</v>
      </c>
      <c r="F4" s="12" t="s">
        <v>29</v>
      </c>
      <c r="G4" s="20" t="s">
        <v>15</v>
      </c>
      <c r="H4" s="19" t="s">
        <v>34</v>
      </c>
      <c r="I4" s="16" t="s">
        <v>3</v>
      </c>
      <c r="J4" s="16" t="s">
        <v>8</v>
      </c>
      <c r="K4" s="16" t="s">
        <v>4</v>
      </c>
      <c r="L4" s="16" t="s">
        <v>3</v>
      </c>
      <c r="M4" s="16" t="s">
        <v>2</v>
      </c>
      <c r="N4" s="16" t="s">
        <v>8</v>
      </c>
      <c r="O4" s="16" t="s">
        <v>8</v>
      </c>
      <c r="P4" s="11" t="s">
        <v>17</v>
      </c>
      <c r="Q4" s="4">
        <v>8.6111111111111107</v>
      </c>
      <c r="R4" s="5" t="s">
        <v>1541</v>
      </c>
      <c r="S4" s="5" t="b">
        <f t="shared" ref="S4:S67" si="0">R4=E4</f>
        <v>1</v>
      </c>
    </row>
    <row r="5" spans="1:19" s="5" customFormat="1" ht="42" customHeight="1">
      <c r="A5" s="2">
        <v>3</v>
      </c>
      <c r="B5" s="12">
        <v>2544640066</v>
      </c>
      <c r="C5" s="21">
        <v>250371509003</v>
      </c>
      <c r="D5" s="17">
        <f t="shared" ref="D5:D68" si="1">D4+1</f>
        <v>250072</v>
      </c>
      <c r="E5" s="22" t="s">
        <v>801</v>
      </c>
      <c r="F5" s="12" t="s">
        <v>29</v>
      </c>
      <c r="G5" s="20" t="s">
        <v>15</v>
      </c>
      <c r="H5" s="19" t="s">
        <v>34</v>
      </c>
      <c r="I5" s="16" t="s">
        <v>1516</v>
      </c>
      <c r="J5" s="16" t="s">
        <v>1516</v>
      </c>
      <c r="K5" s="16" t="s">
        <v>1516</v>
      </c>
      <c r="L5" s="16" t="s">
        <v>1516</v>
      </c>
      <c r="M5" s="16" t="s">
        <v>1516</v>
      </c>
      <c r="N5" s="16" t="s">
        <v>1516</v>
      </c>
      <c r="O5" s="16" t="s">
        <v>1516</v>
      </c>
      <c r="P5" s="11" t="s">
        <v>1516</v>
      </c>
      <c r="Q5" s="4">
        <v>0</v>
      </c>
      <c r="R5" s="5" t="s">
        <v>801</v>
      </c>
      <c r="S5" s="5" t="b">
        <f t="shared" si="0"/>
        <v>1</v>
      </c>
    </row>
    <row r="6" spans="1:19" s="5" customFormat="1" ht="42" customHeight="1">
      <c r="A6" s="2">
        <v>4</v>
      </c>
      <c r="B6" s="12">
        <v>2544640451</v>
      </c>
      <c r="C6" s="21">
        <v>250371509004</v>
      </c>
      <c r="D6" s="17">
        <f t="shared" si="1"/>
        <v>250073</v>
      </c>
      <c r="E6" s="22" t="s">
        <v>802</v>
      </c>
      <c r="F6" s="12" t="s">
        <v>29</v>
      </c>
      <c r="G6" s="20" t="s">
        <v>15</v>
      </c>
      <c r="H6" s="19" t="s">
        <v>34</v>
      </c>
      <c r="I6" s="16" t="s">
        <v>3</v>
      </c>
      <c r="J6" s="16" t="s">
        <v>2</v>
      </c>
      <c r="K6" s="16" t="s">
        <v>6</v>
      </c>
      <c r="L6" s="16" t="s">
        <v>3</v>
      </c>
      <c r="M6" s="16" t="s">
        <v>8</v>
      </c>
      <c r="N6" s="16" t="s">
        <v>2</v>
      </c>
      <c r="O6" s="16" t="s">
        <v>2</v>
      </c>
      <c r="P6" s="11" t="s">
        <v>17</v>
      </c>
      <c r="Q6" s="4">
        <v>7.833333333333333</v>
      </c>
      <c r="R6" s="5" t="s">
        <v>802</v>
      </c>
      <c r="S6" s="5" t="b">
        <f t="shared" si="0"/>
        <v>1</v>
      </c>
    </row>
    <row r="7" spans="1:19" s="5" customFormat="1" ht="42" customHeight="1">
      <c r="A7" s="2">
        <v>5</v>
      </c>
      <c r="B7" s="12">
        <v>2544640854</v>
      </c>
      <c r="C7" s="21">
        <v>250371509005</v>
      </c>
      <c r="D7" s="17">
        <f t="shared" si="1"/>
        <v>250074</v>
      </c>
      <c r="E7" s="22" t="s">
        <v>803</v>
      </c>
      <c r="F7" s="12" t="s">
        <v>29</v>
      </c>
      <c r="G7" s="20" t="s">
        <v>15</v>
      </c>
      <c r="H7" s="19" t="s">
        <v>34</v>
      </c>
      <c r="I7" s="16" t="s">
        <v>2</v>
      </c>
      <c r="J7" s="16" t="s">
        <v>8</v>
      </c>
      <c r="K7" s="16" t="s">
        <v>4</v>
      </c>
      <c r="L7" s="16" t="s">
        <v>2</v>
      </c>
      <c r="M7" s="16" t="s">
        <v>2</v>
      </c>
      <c r="N7" s="16" t="s">
        <v>8</v>
      </c>
      <c r="O7" s="16" t="s">
        <v>8</v>
      </c>
      <c r="P7" s="11" t="s">
        <v>17</v>
      </c>
      <c r="Q7" s="4">
        <v>8.9444444444444446</v>
      </c>
      <c r="R7" s="5" t="s">
        <v>803</v>
      </c>
      <c r="S7" s="5" t="b">
        <f t="shared" si="0"/>
        <v>1</v>
      </c>
    </row>
    <row r="8" spans="1:19" s="5" customFormat="1" ht="42" customHeight="1">
      <c r="A8" s="2">
        <v>6</v>
      </c>
      <c r="B8" s="12">
        <v>2544640186</v>
      </c>
      <c r="C8" s="21">
        <v>250371509006</v>
      </c>
      <c r="D8" s="17">
        <f t="shared" si="1"/>
        <v>250075</v>
      </c>
      <c r="E8" s="22" t="s">
        <v>804</v>
      </c>
      <c r="F8" s="12" t="s">
        <v>29</v>
      </c>
      <c r="G8" s="20" t="s">
        <v>15</v>
      </c>
      <c r="H8" s="19" t="s">
        <v>34</v>
      </c>
      <c r="I8" s="16" t="s">
        <v>2</v>
      </c>
      <c r="J8" s="16" t="s">
        <v>8</v>
      </c>
      <c r="K8" s="16" t="s">
        <v>4</v>
      </c>
      <c r="L8" s="16" t="s">
        <v>2</v>
      </c>
      <c r="M8" s="16" t="s">
        <v>8</v>
      </c>
      <c r="N8" s="16" t="s">
        <v>8</v>
      </c>
      <c r="O8" s="16" t="s">
        <v>8</v>
      </c>
      <c r="P8" s="11" t="s">
        <v>17</v>
      </c>
      <c r="Q8" s="4">
        <v>9</v>
      </c>
      <c r="R8" s="5" t="s">
        <v>804</v>
      </c>
      <c r="S8" s="5" t="b">
        <f t="shared" si="0"/>
        <v>1</v>
      </c>
    </row>
    <row r="9" spans="1:19" s="5" customFormat="1" ht="42" customHeight="1">
      <c r="A9" s="2">
        <v>7</v>
      </c>
      <c r="B9" s="12">
        <v>2544640914</v>
      </c>
      <c r="C9" s="21">
        <v>250371509008</v>
      </c>
      <c r="D9" s="17">
        <f t="shared" si="1"/>
        <v>250076</v>
      </c>
      <c r="E9" s="22" t="s">
        <v>805</v>
      </c>
      <c r="F9" s="12" t="s">
        <v>29</v>
      </c>
      <c r="G9" s="20" t="s">
        <v>15</v>
      </c>
      <c r="H9" s="19" t="s">
        <v>34</v>
      </c>
      <c r="I9" s="16" t="s">
        <v>4</v>
      </c>
      <c r="J9" s="16" t="s">
        <v>2</v>
      </c>
      <c r="K9" s="16" t="s">
        <v>5</v>
      </c>
      <c r="L9" s="16" t="s">
        <v>3</v>
      </c>
      <c r="M9" s="16" t="s">
        <v>4</v>
      </c>
      <c r="N9" s="16" t="s">
        <v>8</v>
      </c>
      <c r="O9" s="16" t="s">
        <v>8</v>
      </c>
      <c r="P9" s="11" t="s">
        <v>17</v>
      </c>
      <c r="Q9" s="4">
        <v>7.9444444444444446</v>
      </c>
      <c r="R9" s="5" t="s">
        <v>805</v>
      </c>
      <c r="S9" s="5" t="b">
        <f t="shared" si="0"/>
        <v>1</v>
      </c>
    </row>
    <row r="10" spans="1:19" s="5" customFormat="1" ht="42" customHeight="1">
      <c r="A10" s="2">
        <v>8</v>
      </c>
      <c r="B10" s="12">
        <v>2544640093</v>
      </c>
      <c r="C10" s="21">
        <v>250371509009</v>
      </c>
      <c r="D10" s="17">
        <f t="shared" si="1"/>
        <v>250077</v>
      </c>
      <c r="E10" s="22" t="s">
        <v>806</v>
      </c>
      <c r="F10" s="12" t="s">
        <v>29</v>
      </c>
      <c r="G10" s="20" t="s">
        <v>15</v>
      </c>
      <c r="H10" s="19" t="s">
        <v>34</v>
      </c>
      <c r="I10" s="16" t="s">
        <v>3</v>
      </c>
      <c r="J10" s="16" t="s">
        <v>8</v>
      </c>
      <c r="K10" s="16" t="s">
        <v>4</v>
      </c>
      <c r="L10" s="16" t="s">
        <v>4</v>
      </c>
      <c r="M10" s="16" t="s">
        <v>2</v>
      </c>
      <c r="N10" s="16" t="s">
        <v>3</v>
      </c>
      <c r="O10" s="16" t="s">
        <v>8</v>
      </c>
      <c r="P10" s="11" t="s">
        <v>17</v>
      </c>
      <c r="Q10" s="4">
        <v>8.1111111111111107</v>
      </c>
      <c r="R10" s="5" t="s">
        <v>806</v>
      </c>
      <c r="S10" s="5" t="b">
        <f t="shared" si="0"/>
        <v>1</v>
      </c>
    </row>
    <row r="11" spans="1:19" s="5" customFormat="1" ht="42" customHeight="1">
      <c r="A11" s="2">
        <v>9</v>
      </c>
      <c r="B11" s="12">
        <v>2544640384</v>
      </c>
      <c r="C11" s="21">
        <v>250371509012</v>
      </c>
      <c r="D11" s="17">
        <f t="shared" si="1"/>
        <v>250078</v>
      </c>
      <c r="E11" s="22" t="s">
        <v>807</v>
      </c>
      <c r="F11" s="12" t="s">
        <v>29</v>
      </c>
      <c r="G11" s="20" t="s">
        <v>15</v>
      </c>
      <c r="H11" s="19" t="s">
        <v>34</v>
      </c>
      <c r="I11" s="16" t="s">
        <v>3</v>
      </c>
      <c r="J11" s="16" t="s">
        <v>2</v>
      </c>
      <c r="K11" s="16" t="s">
        <v>4</v>
      </c>
      <c r="L11" s="16" t="s">
        <v>3</v>
      </c>
      <c r="M11" s="16" t="s">
        <v>2</v>
      </c>
      <c r="N11" s="16" t="s">
        <v>1517</v>
      </c>
      <c r="O11" s="16" t="s">
        <v>8</v>
      </c>
      <c r="P11" s="11" t="s">
        <v>1517</v>
      </c>
      <c r="Q11" s="4">
        <v>0</v>
      </c>
      <c r="R11" s="5" t="s">
        <v>807</v>
      </c>
      <c r="S11" s="5" t="b">
        <f t="shared" si="0"/>
        <v>1</v>
      </c>
    </row>
    <row r="12" spans="1:19" s="5" customFormat="1" ht="42" customHeight="1">
      <c r="A12" s="2">
        <v>10</v>
      </c>
      <c r="B12" s="12">
        <v>2544640559</v>
      </c>
      <c r="C12" s="21">
        <v>250371509015</v>
      </c>
      <c r="D12" s="17">
        <f t="shared" si="1"/>
        <v>250079</v>
      </c>
      <c r="E12" s="22" t="s">
        <v>808</v>
      </c>
      <c r="F12" s="12" t="s">
        <v>29</v>
      </c>
      <c r="G12" s="20" t="s">
        <v>15</v>
      </c>
      <c r="H12" s="19" t="s">
        <v>34</v>
      </c>
      <c r="I12" s="16" t="s">
        <v>4</v>
      </c>
      <c r="J12" s="16" t="s">
        <v>2</v>
      </c>
      <c r="K12" s="16" t="s">
        <v>4</v>
      </c>
      <c r="L12" s="16" t="s">
        <v>2</v>
      </c>
      <c r="M12" s="16" t="s">
        <v>8</v>
      </c>
      <c r="N12" s="16" t="s">
        <v>2</v>
      </c>
      <c r="O12" s="16" t="s">
        <v>2</v>
      </c>
      <c r="P12" s="11" t="s">
        <v>17</v>
      </c>
      <c r="Q12" s="4">
        <v>8.2777777777777786</v>
      </c>
      <c r="R12" s="5" t="s">
        <v>808</v>
      </c>
      <c r="S12" s="5" t="b">
        <f t="shared" si="0"/>
        <v>1</v>
      </c>
    </row>
    <row r="13" spans="1:19" s="5" customFormat="1" ht="42" customHeight="1">
      <c r="A13" s="2">
        <v>11</v>
      </c>
      <c r="B13" s="12">
        <v>2544640121</v>
      </c>
      <c r="C13" s="21">
        <v>250371509016</v>
      </c>
      <c r="D13" s="17">
        <f t="shared" si="1"/>
        <v>250080</v>
      </c>
      <c r="E13" s="22" t="s">
        <v>809</v>
      </c>
      <c r="F13" s="12" t="s">
        <v>29</v>
      </c>
      <c r="G13" s="20" t="s">
        <v>15</v>
      </c>
      <c r="H13" s="19" t="s">
        <v>34</v>
      </c>
      <c r="I13" s="16" t="s">
        <v>3</v>
      </c>
      <c r="J13" s="16" t="s">
        <v>2</v>
      </c>
      <c r="K13" s="16" t="s">
        <v>3</v>
      </c>
      <c r="L13" s="16" t="s">
        <v>3</v>
      </c>
      <c r="M13" s="16" t="s">
        <v>2</v>
      </c>
      <c r="N13" s="16" t="s">
        <v>2</v>
      </c>
      <c r="O13" s="16" t="s">
        <v>2</v>
      </c>
      <c r="P13" s="11" t="s">
        <v>17</v>
      </c>
      <c r="Q13" s="4">
        <v>8.4444444444444446</v>
      </c>
      <c r="R13" s="5" t="s">
        <v>809</v>
      </c>
      <c r="S13" s="5" t="b">
        <f t="shared" si="0"/>
        <v>1</v>
      </c>
    </row>
    <row r="14" spans="1:19" s="5" customFormat="1" ht="42" customHeight="1">
      <c r="A14" s="2">
        <v>12</v>
      </c>
      <c r="B14" s="12">
        <v>2544640764</v>
      </c>
      <c r="C14" s="21">
        <v>250371509017</v>
      </c>
      <c r="D14" s="17">
        <f t="shared" si="1"/>
        <v>250081</v>
      </c>
      <c r="E14" s="22" t="s">
        <v>810</v>
      </c>
      <c r="F14" s="12" t="s">
        <v>29</v>
      </c>
      <c r="G14" s="20" t="s">
        <v>15</v>
      </c>
      <c r="H14" s="19" t="s">
        <v>34</v>
      </c>
      <c r="I14" s="16" t="s">
        <v>3</v>
      </c>
      <c r="J14" s="16" t="s">
        <v>8</v>
      </c>
      <c r="K14" s="16" t="s">
        <v>3</v>
      </c>
      <c r="L14" s="16" t="s">
        <v>2</v>
      </c>
      <c r="M14" s="16" t="s">
        <v>8</v>
      </c>
      <c r="N14" s="16" t="s">
        <v>2</v>
      </c>
      <c r="O14" s="16" t="s">
        <v>8</v>
      </c>
      <c r="P14" s="11" t="s">
        <v>17</v>
      </c>
      <c r="Q14" s="4">
        <v>8.8888888888888893</v>
      </c>
      <c r="R14" s="5" t="s">
        <v>810</v>
      </c>
      <c r="S14" s="5" t="b">
        <f t="shared" si="0"/>
        <v>1</v>
      </c>
    </row>
    <row r="15" spans="1:19" s="5" customFormat="1" ht="42" customHeight="1">
      <c r="A15" s="2">
        <v>13</v>
      </c>
      <c r="B15" s="12">
        <v>2544640108</v>
      </c>
      <c r="C15" s="21">
        <v>250371509018</v>
      </c>
      <c r="D15" s="17">
        <f t="shared" si="1"/>
        <v>250082</v>
      </c>
      <c r="E15" s="22" t="s">
        <v>811</v>
      </c>
      <c r="F15" s="12" t="s">
        <v>29</v>
      </c>
      <c r="G15" s="20" t="s">
        <v>15</v>
      </c>
      <c r="H15" s="19" t="s">
        <v>34</v>
      </c>
      <c r="I15" s="16" t="s">
        <v>6</v>
      </c>
      <c r="J15" s="16" t="s">
        <v>3</v>
      </c>
      <c r="K15" s="16" t="s">
        <v>6</v>
      </c>
      <c r="L15" s="16" t="s">
        <v>4</v>
      </c>
      <c r="M15" s="16" t="s">
        <v>3</v>
      </c>
      <c r="N15" s="16" t="s">
        <v>7</v>
      </c>
      <c r="O15" s="16" t="s">
        <v>2</v>
      </c>
      <c r="P15" s="11" t="s">
        <v>7</v>
      </c>
      <c r="Q15" s="4">
        <v>0</v>
      </c>
      <c r="R15" s="5" t="s">
        <v>811</v>
      </c>
      <c r="S15" s="5" t="b">
        <f t="shared" si="0"/>
        <v>1</v>
      </c>
    </row>
    <row r="16" spans="1:19" s="5" customFormat="1" ht="42" customHeight="1">
      <c r="A16" s="2">
        <v>14</v>
      </c>
      <c r="B16" s="12">
        <v>2544640038</v>
      </c>
      <c r="C16" s="21">
        <v>250371509022</v>
      </c>
      <c r="D16" s="17">
        <f t="shared" si="1"/>
        <v>250083</v>
      </c>
      <c r="E16" s="22" t="s">
        <v>812</v>
      </c>
      <c r="F16" s="12" t="s">
        <v>29</v>
      </c>
      <c r="G16" s="20" t="s">
        <v>15</v>
      </c>
      <c r="H16" s="19" t="s">
        <v>34</v>
      </c>
      <c r="I16" s="16" t="s">
        <v>4</v>
      </c>
      <c r="J16" s="16" t="s">
        <v>3</v>
      </c>
      <c r="K16" s="16" t="s">
        <v>3</v>
      </c>
      <c r="L16" s="16" t="s">
        <v>3</v>
      </c>
      <c r="M16" s="16" t="s">
        <v>8</v>
      </c>
      <c r="N16" s="16" t="s">
        <v>2</v>
      </c>
      <c r="O16" s="16" t="s">
        <v>2</v>
      </c>
      <c r="P16" s="11" t="s">
        <v>17</v>
      </c>
      <c r="Q16" s="4">
        <v>8.1666666666666661</v>
      </c>
      <c r="R16" s="5" t="s">
        <v>812</v>
      </c>
      <c r="S16" s="5" t="b">
        <f t="shared" si="0"/>
        <v>1</v>
      </c>
    </row>
    <row r="17" spans="1:19" s="5" customFormat="1" ht="42" customHeight="1">
      <c r="A17" s="2">
        <v>15</v>
      </c>
      <c r="B17" s="12">
        <v>2544640074</v>
      </c>
      <c r="C17" s="21">
        <v>250371509025</v>
      </c>
      <c r="D17" s="17">
        <f t="shared" si="1"/>
        <v>250084</v>
      </c>
      <c r="E17" s="22" t="s">
        <v>813</v>
      </c>
      <c r="F17" s="12" t="s">
        <v>29</v>
      </c>
      <c r="G17" s="20" t="s">
        <v>15</v>
      </c>
      <c r="H17" s="19" t="s">
        <v>34</v>
      </c>
      <c r="I17" s="16" t="s">
        <v>3</v>
      </c>
      <c r="J17" s="16" t="s">
        <v>11</v>
      </c>
      <c r="K17" s="16" t="s">
        <v>5</v>
      </c>
      <c r="L17" s="16" t="s">
        <v>5</v>
      </c>
      <c r="M17" s="16" t="s">
        <v>2</v>
      </c>
      <c r="N17" s="16" t="s">
        <v>4</v>
      </c>
      <c r="O17" s="16" t="s">
        <v>8</v>
      </c>
      <c r="P17" s="11" t="s">
        <v>17</v>
      </c>
      <c r="Q17" s="4">
        <v>6.5555555555555554</v>
      </c>
      <c r="R17" s="5" t="s">
        <v>813</v>
      </c>
      <c r="S17" s="5" t="b">
        <f t="shared" si="0"/>
        <v>1</v>
      </c>
    </row>
    <row r="18" spans="1:19" s="5" customFormat="1" ht="42" customHeight="1">
      <c r="A18" s="2">
        <v>16</v>
      </c>
      <c r="B18" s="12">
        <v>2544640203</v>
      </c>
      <c r="C18" s="21">
        <v>250371509026</v>
      </c>
      <c r="D18" s="17">
        <f t="shared" si="1"/>
        <v>250085</v>
      </c>
      <c r="E18" s="22" t="s">
        <v>814</v>
      </c>
      <c r="F18" s="12" t="s">
        <v>29</v>
      </c>
      <c r="G18" s="20" t="s">
        <v>15</v>
      </c>
      <c r="H18" s="19" t="s">
        <v>34</v>
      </c>
      <c r="I18" s="16" t="s">
        <v>3</v>
      </c>
      <c r="J18" s="16" t="s">
        <v>2</v>
      </c>
      <c r="K18" s="16" t="s">
        <v>2</v>
      </c>
      <c r="L18" s="16" t="s">
        <v>2</v>
      </c>
      <c r="M18" s="16" t="s">
        <v>2</v>
      </c>
      <c r="N18" s="16" t="s">
        <v>8</v>
      </c>
      <c r="O18" s="16" t="s">
        <v>8</v>
      </c>
      <c r="P18" s="11" t="s">
        <v>17</v>
      </c>
      <c r="Q18" s="4">
        <v>9.0555555555555554</v>
      </c>
      <c r="R18" s="5" t="s">
        <v>814</v>
      </c>
      <c r="S18" s="5" t="b">
        <f t="shared" si="0"/>
        <v>1</v>
      </c>
    </row>
    <row r="19" spans="1:19" s="5" customFormat="1" ht="42" customHeight="1">
      <c r="A19" s="2">
        <v>17</v>
      </c>
      <c r="B19" s="12">
        <v>2544640862</v>
      </c>
      <c r="C19" s="21">
        <v>250371509027</v>
      </c>
      <c r="D19" s="17">
        <f t="shared" si="1"/>
        <v>250086</v>
      </c>
      <c r="E19" s="22" t="s">
        <v>815</v>
      </c>
      <c r="F19" s="12" t="s">
        <v>29</v>
      </c>
      <c r="G19" s="20" t="s">
        <v>15</v>
      </c>
      <c r="H19" s="19" t="s">
        <v>34</v>
      </c>
      <c r="I19" s="16" t="s">
        <v>3</v>
      </c>
      <c r="J19" s="16" t="s">
        <v>2</v>
      </c>
      <c r="K19" s="16" t="s">
        <v>3</v>
      </c>
      <c r="L19" s="16" t="s">
        <v>1516</v>
      </c>
      <c r="M19" s="16" t="s">
        <v>4</v>
      </c>
      <c r="N19" s="16" t="s">
        <v>1516</v>
      </c>
      <c r="O19" s="16" t="s">
        <v>2</v>
      </c>
      <c r="P19" s="11" t="s">
        <v>1516</v>
      </c>
      <c r="Q19" s="4">
        <v>0</v>
      </c>
      <c r="R19" s="5" t="s">
        <v>815</v>
      </c>
      <c r="S19" s="5" t="b">
        <f t="shared" si="0"/>
        <v>1</v>
      </c>
    </row>
    <row r="20" spans="1:19" s="5" customFormat="1" ht="42" customHeight="1">
      <c r="A20" s="2">
        <v>18</v>
      </c>
      <c r="B20" s="12">
        <v>2544640101</v>
      </c>
      <c r="C20" s="21">
        <v>250371509028</v>
      </c>
      <c r="D20" s="17">
        <f t="shared" si="1"/>
        <v>250087</v>
      </c>
      <c r="E20" s="22" t="s">
        <v>816</v>
      </c>
      <c r="F20" s="12" t="s">
        <v>29</v>
      </c>
      <c r="G20" s="20" t="s">
        <v>15</v>
      </c>
      <c r="H20" s="19" t="s">
        <v>34</v>
      </c>
      <c r="I20" s="16" t="s">
        <v>4</v>
      </c>
      <c r="J20" s="16" t="s">
        <v>8</v>
      </c>
      <c r="K20" s="16" t="s">
        <v>3</v>
      </c>
      <c r="L20" s="16" t="s">
        <v>3</v>
      </c>
      <c r="M20" s="16" t="s">
        <v>2</v>
      </c>
      <c r="N20" s="16" t="s">
        <v>8</v>
      </c>
      <c r="O20" s="16" t="s">
        <v>8</v>
      </c>
      <c r="P20" s="11" t="s">
        <v>17</v>
      </c>
      <c r="Q20" s="4">
        <v>8.6666666666666661</v>
      </c>
      <c r="R20" s="5" t="s">
        <v>816</v>
      </c>
      <c r="S20" s="5" t="b">
        <f t="shared" si="0"/>
        <v>1</v>
      </c>
    </row>
    <row r="21" spans="1:19" s="5" customFormat="1" ht="42" customHeight="1">
      <c r="A21" s="2">
        <v>19</v>
      </c>
      <c r="B21" s="12">
        <v>2544640727</v>
      </c>
      <c r="C21" s="21">
        <v>250371509029</v>
      </c>
      <c r="D21" s="17">
        <f t="shared" si="1"/>
        <v>250088</v>
      </c>
      <c r="E21" s="22" t="s">
        <v>817</v>
      </c>
      <c r="F21" s="12" t="s">
        <v>29</v>
      </c>
      <c r="G21" s="20" t="s">
        <v>15</v>
      </c>
      <c r="H21" s="19" t="s">
        <v>34</v>
      </c>
      <c r="I21" s="16" t="s">
        <v>3</v>
      </c>
      <c r="J21" s="16" t="s">
        <v>2</v>
      </c>
      <c r="K21" s="16" t="s">
        <v>3</v>
      </c>
      <c r="L21" s="16" t="s">
        <v>4</v>
      </c>
      <c r="M21" s="16" t="s">
        <v>8</v>
      </c>
      <c r="N21" s="16" t="s">
        <v>3</v>
      </c>
      <c r="O21" s="16" t="s">
        <v>2</v>
      </c>
      <c r="P21" s="11" t="s">
        <v>17</v>
      </c>
      <c r="Q21" s="4">
        <v>8.1666666666666661</v>
      </c>
      <c r="R21" s="5" t="s">
        <v>817</v>
      </c>
      <c r="S21" s="5" t="b">
        <f t="shared" si="0"/>
        <v>1</v>
      </c>
    </row>
    <row r="22" spans="1:19" s="5" customFormat="1" ht="42" customHeight="1">
      <c r="A22" s="2">
        <v>20</v>
      </c>
      <c r="B22" s="12">
        <v>2544640537</v>
      </c>
      <c r="C22" s="21">
        <v>250371509030</v>
      </c>
      <c r="D22" s="17">
        <f t="shared" si="1"/>
        <v>250089</v>
      </c>
      <c r="E22" s="22" t="s">
        <v>818</v>
      </c>
      <c r="F22" s="12" t="s">
        <v>29</v>
      </c>
      <c r="G22" s="20" t="s">
        <v>15</v>
      </c>
      <c r="H22" s="19" t="s">
        <v>34</v>
      </c>
      <c r="I22" s="16" t="s">
        <v>6</v>
      </c>
      <c r="J22" s="16" t="s">
        <v>7</v>
      </c>
      <c r="K22" s="16" t="s">
        <v>4</v>
      </c>
      <c r="L22" s="16" t="s">
        <v>6</v>
      </c>
      <c r="M22" s="16" t="s">
        <v>4</v>
      </c>
      <c r="N22" s="16" t="s">
        <v>5</v>
      </c>
      <c r="O22" s="16" t="s">
        <v>4</v>
      </c>
      <c r="P22" s="11" t="s">
        <v>7</v>
      </c>
      <c r="Q22" s="4">
        <v>0</v>
      </c>
      <c r="R22" s="5" t="s">
        <v>818</v>
      </c>
      <c r="S22" s="5" t="b">
        <f t="shared" si="0"/>
        <v>1</v>
      </c>
    </row>
    <row r="23" spans="1:19" s="5" customFormat="1" ht="42" customHeight="1">
      <c r="A23" s="2">
        <v>21</v>
      </c>
      <c r="B23" s="12">
        <v>2544640330</v>
      </c>
      <c r="C23" s="21">
        <v>250371509032</v>
      </c>
      <c r="D23" s="17">
        <f t="shared" si="1"/>
        <v>250090</v>
      </c>
      <c r="E23" s="22" t="s">
        <v>819</v>
      </c>
      <c r="F23" s="12" t="s">
        <v>29</v>
      </c>
      <c r="G23" s="20" t="s">
        <v>15</v>
      </c>
      <c r="H23" s="19" t="s">
        <v>34</v>
      </c>
      <c r="I23" s="16" t="s">
        <v>3</v>
      </c>
      <c r="J23" s="16" t="s">
        <v>2</v>
      </c>
      <c r="K23" s="16" t="s">
        <v>4</v>
      </c>
      <c r="L23" s="16" t="s">
        <v>4</v>
      </c>
      <c r="M23" s="16" t="s">
        <v>3</v>
      </c>
      <c r="N23" s="16" t="s">
        <v>2</v>
      </c>
      <c r="O23" s="16" t="s">
        <v>8</v>
      </c>
      <c r="P23" s="11" t="s">
        <v>17</v>
      </c>
      <c r="Q23" s="4">
        <v>8.0555555555555554</v>
      </c>
      <c r="R23" s="5" t="s">
        <v>819</v>
      </c>
      <c r="S23" s="5" t="b">
        <f t="shared" si="0"/>
        <v>1</v>
      </c>
    </row>
    <row r="24" spans="1:19" s="5" customFormat="1" ht="42" customHeight="1">
      <c r="A24" s="2">
        <v>22</v>
      </c>
      <c r="B24" s="12">
        <v>2544640027</v>
      </c>
      <c r="C24" s="21">
        <v>250371509036</v>
      </c>
      <c r="D24" s="17">
        <f t="shared" si="1"/>
        <v>250091</v>
      </c>
      <c r="E24" s="22" t="s">
        <v>820</v>
      </c>
      <c r="F24" s="12" t="s">
        <v>29</v>
      </c>
      <c r="G24" s="20" t="s">
        <v>15</v>
      </c>
      <c r="H24" s="19" t="s">
        <v>34</v>
      </c>
      <c r="I24" s="16" t="s">
        <v>2</v>
      </c>
      <c r="J24" s="16" t="s">
        <v>8</v>
      </c>
      <c r="K24" s="16" t="s">
        <v>2</v>
      </c>
      <c r="L24" s="16" t="s">
        <v>2</v>
      </c>
      <c r="M24" s="16" t="s">
        <v>8</v>
      </c>
      <c r="N24" s="16" t="s">
        <v>8</v>
      </c>
      <c r="O24" s="16" t="s">
        <v>8</v>
      </c>
      <c r="P24" s="11" t="s">
        <v>17</v>
      </c>
      <c r="Q24" s="4">
        <v>9.44</v>
      </c>
      <c r="R24" s="5" t="s">
        <v>820</v>
      </c>
      <c r="S24" s="5" t="b">
        <f t="shared" si="0"/>
        <v>1</v>
      </c>
    </row>
    <row r="25" spans="1:19" s="5" customFormat="1" ht="42" customHeight="1">
      <c r="A25" s="2">
        <v>23</v>
      </c>
      <c r="B25" s="12">
        <v>2544640617</v>
      </c>
      <c r="C25" s="21">
        <v>250371509038</v>
      </c>
      <c r="D25" s="17">
        <f t="shared" si="1"/>
        <v>250092</v>
      </c>
      <c r="E25" s="22" t="s">
        <v>821</v>
      </c>
      <c r="F25" s="12" t="s">
        <v>29</v>
      </c>
      <c r="G25" s="20" t="s">
        <v>15</v>
      </c>
      <c r="H25" s="19" t="s">
        <v>34</v>
      </c>
      <c r="I25" s="16" t="s">
        <v>3</v>
      </c>
      <c r="J25" s="16" t="s">
        <v>8</v>
      </c>
      <c r="K25" s="16" t="s">
        <v>3</v>
      </c>
      <c r="L25" s="16" t="s">
        <v>2</v>
      </c>
      <c r="M25" s="16" t="s">
        <v>8</v>
      </c>
      <c r="N25" s="16" t="s">
        <v>2</v>
      </c>
      <c r="O25" s="16" t="s">
        <v>8</v>
      </c>
      <c r="P25" s="11" t="s">
        <v>17</v>
      </c>
      <c r="Q25" s="4">
        <v>8.8888888888888893</v>
      </c>
      <c r="R25" s="5" t="s">
        <v>821</v>
      </c>
      <c r="S25" s="5" t="b">
        <f t="shared" si="0"/>
        <v>1</v>
      </c>
    </row>
    <row r="26" spans="1:19" s="5" customFormat="1" ht="42" customHeight="1">
      <c r="A26" s="2">
        <v>24</v>
      </c>
      <c r="B26" s="12">
        <v>2544640341</v>
      </c>
      <c r="C26" s="21">
        <v>250371509039</v>
      </c>
      <c r="D26" s="17">
        <f t="shared" si="1"/>
        <v>250093</v>
      </c>
      <c r="E26" s="22" t="s">
        <v>822</v>
      </c>
      <c r="F26" s="12" t="s">
        <v>29</v>
      </c>
      <c r="G26" s="20" t="s">
        <v>15</v>
      </c>
      <c r="H26" s="19" t="s">
        <v>34</v>
      </c>
      <c r="I26" s="16" t="s">
        <v>2</v>
      </c>
      <c r="J26" s="16" t="s">
        <v>2</v>
      </c>
      <c r="K26" s="16" t="s">
        <v>3</v>
      </c>
      <c r="L26" s="16" t="s">
        <v>2</v>
      </c>
      <c r="M26" s="16" t="s">
        <v>2</v>
      </c>
      <c r="N26" s="16" t="s">
        <v>8</v>
      </c>
      <c r="O26" s="16" t="s">
        <v>8</v>
      </c>
      <c r="P26" s="11" t="s">
        <v>17</v>
      </c>
      <c r="Q26" s="4">
        <v>9</v>
      </c>
      <c r="R26" s="5" t="s">
        <v>822</v>
      </c>
      <c r="S26" s="5" t="b">
        <f t="shared" si="0"/>
        <v>1</v>
      </c>
    </row>
    <row r="27" spans="1:19" s="5" customFormat="1" ht="42" customHeight="1">
      <c r="A27" s="2">
        <v>25</v>
      </c>
      <c r="B27" s="12">
        <v>2544640630</v>
      </c>
      <c r="C27" s="21">
        <v>250371509040</v>
      </c>
      <c r="D27" s="17">
        <f t="shared" si="1"/>
        <v>250094</v>
      </c>
      <c r="E27" s="22" t="s">
        <v>823</v>
      </c>
      <c r="F27" s="12" t="s">
        <v>29</v>
      </c>
      <c r="G27" s="20" t="s">
        <v>15</v>
      </c>
      <c r="H27" s="19" t="s">
        <v>34</v>
      </c>
      <c r="I27" s="16" t="s">
        <v>2</v>
      </c>
      <c r="J27" s="16" t="s">
        <v>8</v>
      </c>
      <c r="K27" s="16" t="s">
        <v>3</v>
      </c>
      <c r="L27" s="16" t="s">
        <v>4</v>
      </c>
      <c r="M27" s="16" t="s">
        <v>8</v>
      </c>
      <c r="N27" s="16" t="s">
        <v>3</v>
      </c>
      <c r="O27" s="16" t="s">
        <v>8</v>
      </c>
      <c r="P27" s="11" t="s">
        <v>17</v>
      </c>
      <c r="Q27" s="4">
        <v>8.5555555555555554</v>
      </c>
      <c r="R27" s="5" t="s">
        <v>823</v>
      </c>
      <c r="S27" s="5" t="b">
        <f t="shared" si="0"/>
        <v>1</v>
      </c>
    </row>
    <row r="28" spans="1:19" s="5" customFormat="1" ht="42" customHeight="1">
      <c r="A28" s="2">
        <v>26</v>
      </c>
      <c r="B28" s="12">
        <v>2544640637</v>
      </c>
      <c r="C28" s="21">
        <v>250371509041</v>
      </c>
      <c r="D28" s="17">
        <f t="shared" si="1"/>
        <v>250095</v>
      </c>
      <c r="E28" s="22" t="s">
        <v>824</v>
      </c>
      <c r="F28" s="12" t="s">
        <v>29</v>
      </c>
      <c r="G28" s="20" t="s">
        <v>15</v>
      </c>
      <c r="H28" s="19" t="s">
        <v>34</v>
      </c>
      <c r="I28" s="16" t="s">
        <v>3</v>
      </c>
      <c r="J28" s="16" t="s">
        <v>4</v>
      </c>
      <c r="K28" s="16" t="s">
        <v>3</v>
      </c>
      <c r="L28" s="16" t="s">
        <v>4</v>
      </c>
      <c r="M28" s="16" t="s">
        <v>3</v>
      </c>
      <c r="N28" s="16" t="s">
        <v>2</v>
      </c>
      <c r="O28" s="16" t="s">
        <v>2</v>
      </c>
      <c r="P28" s="11" t="s">
        <v>17</v>
      </c>
      <c r="Q28" s="4">
        <v>7.8888888888888893</v>
      </c>
      <c r="R28" s="5" t="s">
        <v>824</v>
      </c>
      <c r="S28" s="5" t="b">
        <f t="shared" si="0"/>
        <v>1</v>
      </c>
    </row>
    <row r="29" spans="1:19" s="5" customFormat="1" ht="42" customHeight="1">
      <c r="A29" s="2">
        <v>27</v>
      </c>
      <c r="B29" s="12">
        <v>2544641090</v>
      </c>
      <c r="C29" s="21">
        <v>250371509042</v>
      </c>
      <c r="D29" s="17">
        <f t="shared" si="1"/>
        <v>250096</v>
      </c>
      <c r="E29" s="22" t="s">
        <v>825</v>
      </c>
      <c r="F29" s="12" t="s">
        <v>29</v>
      </c>
      <c r="G29" s="20" t="s">
        <v>15</v>
      </c>
      <c r="H29" s="19" t="s">
        <v>34</v>
      </c>
      <c r="I29" s="16" t="s">
        <v>3</v>
      </c>
      <c r="J29" s="16" t="s">
        <v>6</v>
      </c>
      <c r="K29" s="16" t="s">
        <v>5</v>
      </c>
      <c r="L29" s="16" t="s">
        <v>6</v>
      </c>
      <c r="M29" s="16" t="s">
        <v>4</v>
      </c>
      <c r="N29" s="16" t="s">
        <v>4</v>
      </c>
      <c r="O29" s="16" t="s">
        <v>3</v>
      </c>
      <c r="P29" s="11" t="s">
        <v>17</v>
      </c>
      <c r="Q29" s="4">
        <v>6.333333333333333</v>
      </c>
      <c r="R29" s="5" t="s">
        <v>825</v>
      </c>
      <c r="S29" s="5" t="b">
        <f t="shared" si="0"/>
        <v>1</v>
      </c>
    </row>
    <row r="30" spans="1:19" s="5" customFormat="1" ht="42" customHeight="1">
      <c r="A30" s="2">
        <v>28</v>
      </c>
      <c r="B30" s="12">
        <v>2544640739</v>
      </c>
      <c r="C30" s="21">
        <v>250371509043</v>
      </c>
      <c r="D30" s="17">
        <f t="shared" si="1"/>
        <v>250097</v>
      </c>
      <c r="E30" s="22" t="s">
        <v>826</v>
      </c>
      <c r="F30" s="12" t="s">
        <v>29</v>
      </c>
      <c r="G30" s="20" t="s">
        <v>15</v>
      </c>
      <c r="H30" s="19" t="s">
        <v>34</v>
      </c>
      <c r="I30" s="16" t="s">
        <v>3</v>
      </c>
      <c r="J30" s="16" t="s">
        <v>3</v>
      </c>
      <c r="K30" s="16" t="s">
        <v>3</v>
      </c>
      <c r="L30" s="16" t="s">
        <v>4</v>
      </c>
      <c r="M30" s="16" t="s">
        <v>4</v>
      </c>
      <c r="N30" s="16" t="s">
        <v>3</v>
      </c>
      <c r="O30" s="16" t="s">
        <v>2</v>
      </c>
      <c r="P30" s="11" t="s">
        <v>17</v>
      </c>
      <c r="Q30" s="4">
        <v>7.833333333333333</v>
      </c>
      <c r="R30" s="5" t="s">
        <v>826</v>
      </c>
      <c r="S30" s="5" t="b">
        <f t="shared" si="0"/>
        <v>1</v>
      </c>
    </row>
    <row r="31" spans="1:19" s="5" customFormat="1" ht="42" customHeight="1">
      <c r="A31" s="2">
        <v>29</v>
      </c>
      <c r="B31" s="12">
        <v>2544640874</v>
      </c>
      <c r="C31" s="21">
        <v>250371509044</v>
      </c>
      <c r="D31" s="17">
        <f t="shared" si="1"/>
        <v>250098</v>
      </c>
      <c r="E31" s="22" t="s">
        <v>827</v>
      </c>
      <c r="F31" s="12" t="s">
        <v>29</v>
      </c>
      <c r="G31" s="20" t="s">
        <v>15</v>
      </c>
      <c r="H31" s="19" t="s">
        <v>34</v>
      </c>
      <c r="I31" s="16" t="s">
        <v>5</v>
      </c>
      <c r="J31" s="16" t="s">
        <v>3</v>
      </c>
      <c r="K31" s="16" t="s">
        <v>4</v>
      </c>
      <c r="L31" s="16" t="s">
        <v>3</v>
      </c>
      <c r="M31" s="16" t="s">
        <v>3</v>
      </c>
      <c r="N31" s="16" t="s">
        <v>3</v>
      </c>
      <c r="O31" s="16" t="s">
        <v>8</v>
      </c>
      <c r="P31" s="11" t="s">
        <v>17</v>
      </c>
      <c r="Q31" s="4">
        <v>7.5555555555555554</v>
      </c>
      <c r="R31" s="5" t="s">
        <v>827</v>
      </c>
      <c r="S31" s="5" t="b">
        <f t="shared" si="0"/>
        <v>1</v>
      </c>
    </row>
    <row r="32" spans="1:19" s="5" customFormat="1" ht="42" customHeight="1">
      <c r="A32" s="2">
        <v>30</v>
      </c>
      <c r="B32" s="12">
        <v>2544640915</v>
      </c>
      <c r="C32" s="21">
        <v>250371509045</v>
      </c>
      <c r="D32" s="17">
        <f t="shared" si="1"/>
        <v>250099</v>
      </c>
      <c r="E32" s="22" t="s">
        <v>828</v>
      </c>
      <c r="F32" s="12" t="s">
        <v>29</v>
      </c>
      <c r="G32" s="20" t="s">
        <v>15</v>
      </c>
      <c r="H32" s="19" t="s">
        <v>34</v>
      </c>
      <c r="I32" s="16" t="s">
        <v>3</v>
      </c>
      <c r="J32" s="16" t="s">
        <v>4</v>
      </c>
      <c r="K32" s="16" t="s">
        <v>5</v>
      </c>
      <c r="L32" s="16" t="s">
        <v>5</v>
      </c>
      <c r="M32" s="16" t="s">
        <v>4</v>
      </c>
      <c r="N32" s="16" t="s">
        <v>3</v>
      </c>
      <c r="O32" s="16" t="s">
        <v>8</v>
      </c>
      <c r="P32" s="11" t="s">
        <v>17</v>
      </c>
      <c r="Q32" s="4">
        <v>7.1111111111111107</v>
      </c>
      <c r="R32" s="5" t="s">
        <v>828</v>
      </c>
      <c r="S32" s="5" t="b">
        <f t="shared" si="0"/>
        <v>1</v>
      </c>
    </row>
    <row r="33" spans="1:19" s="5" customFormat="1" ht="42" customHeight="1">
      <c r="A33" s="2">
        <v>31</v>
      </c>
      <c r="B33" s="12">
        <v>2544640476</v>
      </c>
      <c r="C33" s="21">
        <v>250371509047</v>
      </c>
      <c r="D33" s="17">
        <f t="shared" si="1"/>
        <v>250100</v>
      </c>
      <c r="E33" s="22" t="s">
        <v>829</v>
      </c>
      <c r="F33" s="12" t="s">
        <v>29</v>
      </c>
      <c r="G33" s="20" t="s">
        <v>15</v>
      </c>
      <c r="H33" s="19" t="s">
        <v>34</v>
      </c>
      <c r="I33" s="16" t="s">
        <v>4</v>
      </c>
      <c r="J33" s="16" t="s">
        <v>4</v>
      </c>
      <c r="K33" s="16" t="s">
        <v>4</v>
      </c>
      <c r="L33" s="16" t="s">
        <v>2</v>
      </c>
      <c r="M33" s="16" t="s">
        <v>4</v>
      </c>
      <c r="N33" s="16" t="s">
        <v>3</v>
      </c>
      <c r="O33" s="16" t="s">
        <v>2</v>
      </c>
      <c r="P33" s="11" t="s">
        <v>17</v>
      </c>
      <c r="Q33" s="4">
        <v>7.6111111111111107</v>
      </c>
      <c r="R33" s="5" t="s">
        <v>829</v>
      </c>
      <c r="S33" s="5" t="b">
        <f t="shared" si="0"/>
        <v>1</v>
      </c>
    </row>
    <row r="34" spans="1:19" s="5" customFormat="1" ht="42" customHeight="1">
      <c r="A34" s="2">
        <v>32</v>
      </c>
      <c r="B34" s="12">
        <v>2544640708</v>
      </c>
      <c r="C34" s="21">
        <v>250371509048</v>
      </c>
      <c r="D34" s="17">
        <f t="shared" si="1"/>
        <v>250101</v>
      </c>
      <c r="E34" s="22" t="s">
        <v>830</v>
      </c>
      <c r="F34" s="12" t="s">
        <v>29</v>
      </c>
      <c r="G34" s="20" t="s">
        <v>15</v>
      </c>
      <c r="H34" s="19" t="s">
        <v>34</v>
      </c>
      <c r="I34" s="16" t="s">
        <v>3</v>
      </c>
      <c r="J34" s="16" t="s">
        <v>2</v>
      </c>
      <c r="K34" s="16" t="s">
        <v>3</v>
      </c>
      <c r="L34" s="16" t="s">
        <v>2</v>
      </c>
      <c r="M34" s="16" t="s">
        <v>8</v>
      </c>
      <c r="N34" s="16" t="s">
        <v>8</v>
      </c>
      <c r="O34" s="16" t="s">
        <v>8</v>
      </c>
      <c r="P34" s="11" t="s">
        <v>17</v>
      </c>
      <c r="Q34" s="4">
        <v>8.8888888888888893</v>
      </c>
      <c r="R34" s="5" t="s">
        <v>830</v>
      </c>
      <c r="S34" s="5" t="b">
        <f t="shared" si="0"/>
        <v>1</v>
      </c>
    </row>
    <row r="35" spans="1:19" s="5" customFormat="1" ht="42" customHeight="1">
      <c r="A35" s="2">
        <v>33</v>
      </c>
      <c r="B35" s="12">
        <v>2544640529</v>
      </c>
      <c r="C35" s="21">
        <v>250371509050</v>
      </c>
      <c r="D35" s="17">
        <f t="shared" si="1"/>
        <v>250102</v>
      </c>
      <c r="E35" s="22" t="s">
        <v>831</v>
      </c>
      <c r="F35" s="12" t="s">
        <v>29</v>
      </c>
      <c r="G35" s="20" t="s">
        <v>15</v>
      </c>
      <c r="H35" s="19" t="s">
        <v>34</v>
      </c>
      <c r="I35" s="16" t="s">
        <v>3</v>
      </c>
      <c r="J35" s="16" t="s">
        <v>8</v>
      </c>
      <c r="K35" s="16" t="s">
        <v>4</v>
      </c>
      <c r="L35" s="16" t="s">
        <v>3</v>
      </c>
      <c r="M35" s="16" t="s">
        <v>3</v>
      </c>
      <c r="N35" s="16" t="s">
        <v>2</v>
      </c>
      <c r="O35" s="16" t="s">
        <v>4</v>
      </c>
      <c r="P35" s="11" t="s">
        <v>17</v>
      </c>
      <c r="Q35" s="4">
        <v>8.2222222222222214</v>
      </c>
      <c r="R35" s="5" t="s">
        <v>831</v>
      </c>
      <c r="S35" s="5" t="b">
        <f t="shared" si="0"/>
        <v>1</v>
      </c>
    </row>
    <row r="36" spans="1:19" s="5" customFormat="1" ht="42" customHeight="1">
      <c r="A36" s="2">
        <v>34</v>
      </c>
      <c r="B36" s="12">
        <v>2544640028</v>
      </c>
      <c r="C36" s="21">
        <v>250371509051</v>
      </c>
      <c r="D36" s="17">
        <f t="shared" si="1"/>
        <v>250103</v>
      </c>
      <c r="E36" s="22" t="s">
        <v>832</v>
      </c>
      <c r="F36" s="12" t="s">
        <v>29</v>
      </c>
      <c r="G36" s="20" t="s">
        <v>15</v>
      </c>
      <c r="H36" s="19" t="s">
        <v>34</v>
      </c>
      <c r="I36" s="16" t="s">
        <v>3</v>
      </c>
      <c r="J36" s="16" t="s">
        <v>4</v>
      </c>
      <c r="K36" s="16" t="s">
        <v>4</v>
      </c>
      <c r="L36" s="16" t="s">
        <v>4</v>
      </c>
      <c r="M36" s="16" t="s">
        <v>4</v>
      </c>
      <c r="N36" s="16" t="s">
        <v>2</v>
      </c>
      <c r="O36" s="16" t="s">
        <v>3</v>
      </c>
      <c r="P36" s="11" t="s">
        <v>17</v>
      </c>
      <c r="Q36" s="4">
        <v>7.5555555555555554</v>
      </c>
      <c r="R36" s="5" t="s">
        <v>832</v>
      </c>
      <c r="S36" s="5" t="b">
        <f t="shared" si="0"/>
        <v>1</v>
      </c>
    </row>
    <row r="37" spans="1:19" s="5" customFormat="1" ht="42" customHeight="1">
      <c r="A37" s="2">
        <v>35</v>
      </c>
      <c r="B37" s="12">
        <v>2544640385</v>
      </c>
      <c r="C37" s="21">
        <v>250371509052</v>
      </c>
      <c r="D37" s="17">
        <f t="shared" si="1"/>
        <v>250104</v>
      </c>
      <c r="E37" s="22" t="s">
        <v>833</v>
      </c>
      <c r="F37" s="12" t="s">
        <v>29</v>
      </c>
      <c r="G37" s="20" t="s">
        <v>15</v>
      </c>
      <c r="H37" s="19" t="s">
        <v>34</v>
      </c>
      <c r="I37" s="16" t="s">
        <v>4</v>
      </c>
      <c r="J37" s="16" t="s">
        <v>4</v>
      </c>
      <c r="K37" s="16" t="s">
        <v>4</v>
      </c>
      <c r="L37" s="16" t="s">
        <v>4</v>
      </c>
      <c r="M37" s="16" t="s">
        <v>3</v>
      </c>
      <c r="N37" s="16" t="s">
        <v>2</v>
      </c>
      <c r="O37" s="16" t="s">
        <v>8</v>
      </c>
      <c r="P37" s="11" t="s">
        <v>17</v>
      </c>
      <c r="Q37" s="4">
        <v>7.5555555555555554</v>
      </c>
      <c r="R37" s="5" t="s">
        <v>833</v>
      </c>
      <c r="S37" s="5" t="b">
        <f t="shared" si="0"/>
        <v>1</v>
      </c>
    </row>
    <row r="38" spans="1:19" s="5" customFormat="1" ht="42" customHeight="1">
      <c r="A38" s="2">
        <v>36</v>
      </c>
      <c r="B38" s="12">
        <v>2544641102</v>
      </c>
      <c r="C38" s="21">
        <v>250371509053</v>
      </c>
      <c r="D38" s="17">
        <f t="shared" si="1"/>
        <v>250105</v>
      </c>
      <c r="E38" s="22" t="s">
        <v>834</v>
      </c>
      <c r="F38" s="12" t="s">
        <v>29</v>
      </c>
      <c r="G38" s="20" t="s">
        <v>15</v>
      </c>
      <c r="H38" s="19" t="s">
        <v>34</v>
      </c>
      <c r="I38" s="16" t="s">
        <v>5</v>
      </c>
      <c r="J38" s="16" t="s">
        <v>11</v>
      </c>
      <c r="K38" s="16" t="s">
        <v>5</v>
      </c>
      <c r="L38" s="16" t="s">
        <v>3</v>
      </c>
      <c r="M38" s="16" t="s">
        <v>3</v>
      </c>
      <c r="N38" s="16" t="s">
        <v>4</v>
      </c>
      <c r="O38" s="16" t="s">
        <v>2</v>
      </c>
      <c r="P38" s="11" t="s">
        <v>17</v>
      </c>
      <c r="Q38" s="4">
        <v>6.4444444444444446</v>
      </c>
      <c r="R38" s="5" t="s">
        <v>834</v>
      </c>
      <c r="S38" s="5" t="b">
        <f t="shared" si="0"/>
        <v>1</v>
      </c>
    </row>
    <row r="39" spans="1:19" s="5" customFormat="1" ht="42" customHeight="1">
      <c r="A39" s="2">
        <v>37</v>
      </c>
      <c r="B39" s="12">
        <v>2544640164</v>
      </c>
      <c r="C39" s="21">
        <v>250371509054</v>
      </c>
      <c r="D39" s="17">
        <f t="shared" si="1"/>
        <v>250106</v>
      </c>
      <c r="E39" s="22" t="s">
        <v>835</v>
      </c>
      <c r="F39" s="12" t="s">
        <v>29</v>
      </c>
      <c r="G39" s="20" t="s">
        <v>15</v>
      </c>
      <c r="H39" s="19" t="s">
        <v>34</v>
      </c>
      <c r="I39" s="16" t="s">
        <v>3</v>
      </c>
      <c r="J39" s="16" t="s">
        <v>6</v>
      </c>
      <c r="K39" s="16" t="s">
        <v>4</v>
      </c>
      <c r="L39" s="16" t="s">
        <v>3</v>
      </c>
      <c r="M39" s="16" t="s">
        <v>4</v>
      </c>
      <c r="N39" s="16" t="s">
        <v>5</v>
      </c>
      <c r="O39" s="16" t="s">
        <v>2</v>
      </c>
      <c r="P39" s="11" t="s">
        <v>17</v>
      </c>
      <c r="Q39" s="4">
        <v>6.9444444444444446</v>
      </c>
      <c r="R39" s="5" t="s">
        <v>835</v>
      </c>
      <c r="S39" s="5" t="b">
        <f t="shared" si="0"/>
        <v>1</v>
      </c>
    </row>
    <row r="40" spans="1:19" s="5" customFormat="1" ht="42" customHeight="1">
      <c r="A40" s="2">
        <v>38</v>
      </c>
      <c r="B40" s="12">
        <v>2544640251</v>
      </c>
      <c r="C40" s="21">
        <v>250371509056</v>
      </c>
      <c r="D40" s="17">
        <f t="shared" si="1"/>
        <v>250107</v>
      </c>
      <c r="E40" s="22" t="s">
        <v>836</v>
      </c>
      <c r="F40" s="12" t="s">
        <v>29</v>
      </c>
      <c r="G40" s="20" t="s">
        <v>15</v>
      </c>
      <c r="H40" s="19" t="s">
        <v>34</v>
      </c>
      <c r="I40" s="16" t="s">
        <v>3</v>
      </c>
      <c r="J40" s="16" t="s">
        <v>4</v>
      </c>
      <c r="K40" s="16" t="s">
        <v>3</v>
      </c>
      <c r="L40" s="16" t="s">
        <v>2</v>
      </c>
      <c r="M40" s="16" t="s">
        <v>8</v>
      </c>
      <c r="N40" s="16" t="s">
        <v>8</v>
      </c>
      <c r="O40" s="16" t="s">
        <v>2</v>
      </c>
      <c r="P40" s="11" t="s">
        <v>17</v>
      </c>
      <c r="Q40" s="4">
        <v>8.5</v>
      </c>
      <c r="R40" s="5" t="s">
        <v>836</v>
      </c>
      <c r="S40" s="5" t="b">
        <f t="shared" si="0"/>
        <v>1</v>
      </c>
    </row>
    <row r="41" spans="1:19" s="5" customFormat="1" ht="42" customHeight="1">
      <c r="A41" s="2">
        <v>39</v>
      </c>
      <c r="B41" s="12">
        <v>2544640519</v>
      </c>
      <c r="C41" s="21">
        <v>250371509060</v>
      </c>
      <c r="D41" s="17">
        <f t="shared" si="1"/>
        <v>250108</v>
      </c>
      <c r="E41" s="22" t="s">
        <v>837</v>
      </c>
      <c r="F41" s="12" t="s">
        <v>29</v>
      </c>
      <c r="G41" s="20" t="s">
        <v>15</v>
      </c>
      <c r="H41" s="19" t="s">
        <v>34</v>
      </c>
      <c r="I41" s="16" t="s">
        <v>3</v>
      </c>
      <c r="J41" s="16" t="s">
        <v>8</v>
      </c>
      <c r="K41" s="16" t="s">
        <v>3</v>
      </c>
      <c r="L41" s="16" t="s">
        <v>2</v>
      </c>
      <c r="M41" s="16" t="s">
        <v>4</v>
      </c>
      <c r="N41" s="16" t="s">
        <v>2</v>
      </c>
      <c r="O41" s="16" t="s">
        <v>8</v>
      </c>
      <c r="P41" s="11" t="s">
        <v>17</v>
      </c>
      <c r="Q41" s="4">
        <v>8.7222222222222214</v>
      </c>
      <c r="R41" s="5" t="s">
        <v>837</v>
      </c>
      <c r="S41" s="5" t="b">
        <f t="shared" si="0"/>
        <v>1</v>
      </c>
    </row>
    <row r="42" spans="1:19" s="5" customFormat="1" ht="42" customHeight="1">
      <c r="A42" s="2">
        <v>40</v>
      </c>
      <c r="B42" s="12">
        <v>2544640612</v>
      </c>
      <c r="C42" s="21">
        <v>250371509061</v>
      </c>
      <c r="D42" s="17">
        <f t="shared" si="1"/>
        <v>250109</v>
      </c>
      <c r="E42" s="22" t="s">
        <v>838</v>
      </c>
      <c r="F42" s="12" t="s">
        <v>29</v>
      </c>
      <c r="G42" s="20" t="s">
        <v>15</v>
      </c>
      <c r="H42" s="19" t="s">
        <v>34</v>
      </c>
      <c r="I42" s="16" t="s">
        <v>4</v>
      </c>
      <c r="J42" s="16" t="s">
        <v>4</v>
      </c>
      <c r="K42" s="16" t="s">
        <v>3</v>
      </c>
      <c r="L42" s="16" t="s">
        <v>4</v>
      </c>
      <c r="M42" s="16" t="s">
        <v>2</v>
      </c>
      <c r="N42" s="16" t="s">
        <v>2</v>
      </c>
      <c r="O42" s="16" t="s">
        <v>8</v>
      </c>
      <c r="P42" s="11" t="s">
        <v>17</v>
      </c>
      <c r="Q42" s="4">
        <v>7.833333333333333</v>
      </c>
      <c r="R42" s="5" t="s">
        <v>838</v>
      </c>
      <c r="S42" s="5" t="b">
        <f t="shared" si="0"/>
        <v>1</v>
      </c>
    </row>
    <row r="43" spans="1:19" s="5" customFormat="1" ht="42" customHeight="1">
      <c r="A43" s="2">
        <v>41</v>
      </c>
      <c r="B43" s="12">
        <v>2544640181</v>
      </c>
      <c r="C43" s="21">
        <v>250371509062</v>
      </c>
      <c r="D43" s="17">
        <f t="shared" si="1"/>
        <v>250110</v>
      </c>
      <c r="E43" s="22" t="s">
        <v>839</v>
      </c>
      <c r="F43" s="12" t="s">
        <v>29</v>
      </c>
      <c r="G43" s="20" t="s">
        <v>15</v>
      </c>
      <c r="H43" s="19" t="s">
        <v>34</v>
      </c>
      <c r="I43" s="16" t="s">
        <v>3</v>
      </c>
      <c r="J43" s="16" t="s">
        <v>2</v>
      </c>
      <c r="K43" s="16" t="s">
        <v>2</v>
      </c>
      <c r="L43" s="16" t="s">
        <v>2</v>
      </c>
      <c r="M43" s="16" t="s">
        <v>8</v>
      </c>
      <c r="N43" s="16" t="s">
        <v>8</v>
      </c>
      <c r="O43" s="16" t="s">
        <v>8</v>
      </c>
      <c r="P43" s="11" t="s">
        <v>17</v>
      </c>
      <c r="Q43" s="4">
        <v>9.1111111111111107</v>
      </c>
      <c r="R43" s="5" t="s">
        <v>839</v>
      </c>
      <c r="S43" s="5" t="b">
        <f t="shared" si="0"/>
        <v>1</v>
      </c>
    </row>
    <row r="44" spans="1:19" s="5" customFormat="1" ht="42" customHeight="1">
      <c r="A44" s="2">
        <v>42</v>
      </c>
      <c r="B44" s="12">
        <v>2544640917</v>
      </c>
      <c r="C44" s="21">
        <v>250371509063</v>
      </c>
      <c r="D44" s="17">
        <f t="shared" si="1"/>
        <v>250111</v>
      </c>
      <c r="E44" s="22" t="s">
        <v>840</v>
      </c>
      <c r="F44" s="12" t="s">
        <v>29</v>
      </c>
      <c r="G44" s="20" t="s">
        <v>15</v>
      </c>
      <c r="H44" s="19" t="s">
        <v>34</v>
      </c>
      <c r="I44" s="16" t="s">
        <v>3</v>
      </c>
      <c r="J44" s="16" t="s">
        <v>8</v>
      </c>
      <c r="K44" s="16" t="s">
        <v>2</v>
      </c>
      <c r="L44" s="16" t="s">
        <v>2</v>
      </c>
      <c r="M44" s="16" t="s">
        <v>8</v>
      </c>
      <c r="N44" s="16" t="s">
        <v>8</v>
      </c>
      <c r="O44" s="16" t="s">
        <v>8</v>
      </c>
      <c r="P44" s="11" t="s">
        <v>17</v>
      </c>
      <c r="Q44" s="4">
        <v>9.2777777777777786</v>
      </c>
      <c r="R44" s="5" t="s">
        <v>840</v>
      </c>
      <c r="S44" s="5" t="b">
        <f t="shared" si="0"/>
        <v>1</v>
      </c>
    </row>
    <row r="45" spans="1:19" s="5" customFormat="1" ht="42" customHeight="1">
      <c r="A45" s="2">
        <v>43</v>
      </c>
      <c r="B45" s="12">
        <v>2544640751</v>
      </c>
      <c r="C45" s="21">
        <v>250371509064</v>
      </c>
      <c r="D45" s="17">
        <f t="shared" si="1"/>
        <v>250112</v>
      </c>
      <c r="E45" s="22" t="s">
        <v>841</v>
      </c>
      <c r="F45" s="12" t="s">
        <v>29</v>
      </c>
      <c r="G45" s="20" t="s">
        <v>15</v>
      </c>
      <c r="H45" s="19" t="s">
        <v>34</v>
      </c>
      <c r="I45" s="16" t="s">
        <v>3</v>
      </c>
      <c r="J45" s="16" t="s">
        <v>2</v>
      </c>
      <c r="K45" s="16" t="s">
        <v>2</v>
      </c>
      <c r="L45" s="16" t="s">
        <v>3</v>
      </c>
      <c r="M45" s="16" t="s">
        <v>8</v>
      </c>
      <c r="N45" s="16" t="s">
        <v>8</v>
      </c>
      <c r="O45" s="16" t="s">
        <v>8</v>
      </c>
      <c r="P45" s="11" t="s">
        <v>17</v>
      </c>
      <c r="Q45" s="4">
        <v>8.9444444444444446</v>
      </c>
      <c r="R45" s="5" t="s">
        <v>841</v>
      </c>
      <c r="S45" s="5" t="b">
        <f t="shared" si="0"/>
        <v>1</v>
      </c>
    </row>
    <row r="46" spans="1:19" s="5" customFormat="1" ht="42" customHeight="1">
      <c r="A46" s="2">
        <v>44</v>
      </c>
      <c r="B46" s="12">
        <v>2544640109</v>
      </c>
      <c r="C46" s="21">
        <v>250371509065</v>
      </c>
      <c r="D46" s="17">
        <f t="shared" si="1"/>
        <v>250113</v>
      </c>
      <c r="E46" s="22" t="s">
        <v>842</v>
      </c>
      <c r="F46" s="12" t="s">
        <v>29</v>
      </c>
      <c r="G46" s="20" t="s">
        <v>15</v>
      </c>
      <c r="H46" s="19" t="s">
        <v>34</v>
      </c>
      <c r="I46" s="16" t="s">
        <v>6</v>
      </c>
      <c r="J46" s="16" t="s">
        <v>2</v>
      </c>
      <c r="K46" s="16" t="s">
        <v>4</v>
      </c>
      <c r="L46" s="16" t="s">
        <v>3</v>
      </c>
      <c r="M46" s="16" t="s">
        <v>4</v>
      </c>
      <c r="N46" s="16" t="s">
        <v>2</v>
      </c>
      <c r="O46" s="16" t="s">
        <v>3</v>
      </c>
      <c r="P46" s="11" t="s">
        <v>17</v>
      </c>
      <c r="Q46" s="4">
        <v>7.5555555555555554</v>
      </c>
      <c r="R46" s="5" t="s">
        <v>842</v>
      </c>
      <c r="S46" s="5" t="b">
        <f t="shared" si="0"/>
        <v>1</v>
      </c>
    </row>
    <row r="47" spans="1:19" s="5" customFormat="1" ht="42" customHeight="1">
      <c r="A47" s="2">
        <v>45</v>
      </c>
      <c r="B47" s="12">
        <v>2544640387</v>
      </c>
      <c r="C47" s="21">
        <v>250371509066</v>
      </c>
      <c r="D47" s="17">
        <f t="shared" si="1"/>
        <v>250114</v>
      </c>
      <c r="E47" s="22" t="s">
        <v>843</v>
      </c>
      <c r="F47" s="12" t="s">
        <v>29</v>
      </c>
      <c r="G47" s="20" t="s">
        <v>15</v>
      </c>
      <c r="H47" s="19" t="s">
        <v>34</v>
      </c>
      <c r="I47" s="16" t="s">
        <v>4</v>
      </c>
      <c r="J47" s="16" t="s">
        <v>3</v>
      </c>
      <c r="K47" s="16" t="s">
        <v>4</v>
      </c>
      <c r="L47" s="16" t="s">
        <v>3</v>
      </c>
      <c r="M47" s="16" t="s">
        <v>2</v>
      </c>
      <c r="N47" s="16" t="s">
        <v>3</v>
      </c>
      <c r="O47" s="16" t="s">
        <v>8</v>
      </c>
      <c r="P47" s="11" t="s">
        <v>17</v>
      </c>
      <c r="Q47" s="4">
        <v>7.7777777777777777</v>
      </c>
      <c r="R47" s="5" t="s">
        <v>843</v>
      </c>
      <c r="S47" s="5" t="b">
        <f t="shared" si="0"/>
        <v>1</v>
      </c>
    </row>
    <row r="48" spans="1:19" s="5" customFormat="1" ht="42" customHeight="1">
      <c r="A48" s="2">
        <v>46</v>
      </c>
      <c r="B48" s="12">
        <v>2544640198</v>
      </c>
      <c r="C48" s="21">
        <v>250371509067</v>
      </c>
      <c r="D48" s="17">
        <f t="shared" si="1"/>
        <v>250115</v>
      </c>
      <c r="E48" s="22" t="s">
        <v>844</v>
      </c>
      <c r="F48" s="12" t="s">
        <v>29</v>
      </c>
      <c r="G48" s="20" t="s">
        <v>15</v>
      </c>
      <c r="H48" s="19" t="s">
        <v>34</v>
      </c>
      <c r="I48" s="16" t="s">
        <v>5</v>
      </c>
      <c r="J48" s="16" t="s">
        <v>2</v>
      </c>
      <c r="K48" s="16" t="s">
        <v>4</v>
      </c>
      <c r="L48" s="16" t="s">
        <v>3</v>
      </c>
      <c r="M48" s="16" t="s">
        <v>2</v>
      </c>
      <c r="N48" s="16" t="s">
        <v>3</v>
      </c>
      <c r="O48" s="16" t="s">
        <v>3</v>
      </c>
      <c r="P48" s="11" t="s">
        <v>17</v>
      </c>
      <c r="Q48" s="4">
        <v>7.666666666666667</v>
      </c>
      <c r="R48" s="5" t="s">
        <v>844</v>
      </c>
      <c r="S48" s="5" t="b">
        <f t="shared" si="0"/>
        <v>1</v>
      </c>
    </row>
    <row r="49" spans="1:19" s="5" customFormat="1" ht="42" customHeight="1">
      <c r="A49" s="2">
        <v>47</v>
      </c>
      <c r="B49" s="12">
        <v>2544640538</v>
      </c>
      <c r="C49" s="21">
        <v>250371509069</v>
      </c>
      <c r="D49" s="17">
        <f t="shared" si="1"/>
        <v>250116</v>
      </c>
      <c r="E49" s="22" t="s">
        <v>845</v>
      </c>
      <c r="F49" s="12" t="s">
        <v>29</v>
      </c>
      <c r="G49" s="20" t="s">
        <v>15</v>
      </c>
      <c r="H49" s="19" t="s">
        <v>34</v>
      </c>
      <c r="I49" s="16" t="s">
        <v>1516</v>
      </c>
      <c r="J49" s="16" t="s">
        <v>1516</v>
      </c>
      <c r="K49" s="16" t="s">
        <v>1516</v>
      </c>
      <c r="L49" s="16" t="s">
        <v>1516</v>
      </c>
      <c r="M49" s="16" t="s">
        <v>1516</v>
      </c>
      <c r="N49" s="16" t="s">
        <v>1516</v>
      </c>
      <c r="O49" s="16" t="s">
        <v>1516</v>
      </c>
      <c r="P49" s="11" t="s">
        <v>1516</v>
      </c>
      <c r="Q49" s="4">
        <v>0</v>
      </c>
      <c r="R49" s="5" t="s">
        <v>845</v>
      </c>
      <c r="S49" s="5" t="b">
        <f t="shared" si="0"/>
        <v>1</v>
      </c>
    </row>
    <row r="50" spans="1:19" s="5" customFormat="1" ht="42" customHeight="1">
      <c r="A50" s="2">
        <v>48</v>
      </c>
      <c r="B50" s="12">
        <v>2544640864</v>
      </c>
      <c r="C50" s="21">
        <v>250371509071</v>
      </c>
      <c r="D50" s="17">
        <f t="shared" si="1"/>
        <v>250117</v>
      </c>
      <c r="E50" s="22" t="s">
        <v>846</v>
      </c>
      <c r="F50" s="12" t="s">
        <v>29</v>
      </c>
      <c r="G50" s="20" t="s">
        <v>15</v>
      </c>
      <c r="H50" s="19" t="s">
        <v>34</v>
      </c>
      <c r="I50" s="16" t="s">
        <v>4</v>
      </c>
      <c r="J50" s="16" t="s">
        <v>4</v>
      </c>
      <c r="K50" s="16" t="s">
        <v>4</v>
      </c>
      <c r="L50" s="16" t="s">
        <v>4</v>
      </c>
      <c r="M50" s="16" t="s">
        <v>3</v>
      </c>
      <c r="N50" s="16" t="s">
        <v>3</v>
      </c>
      <c r="O50" s="16" t="s">
        <v>2</v>
      </c>
      <c r="P50" s="11" t="s">
        <v>17</v>
      </c>
      <c r="Q50" s="4">
        <v>7.333333333333333</v>
      </c>
      <c r="R50" s="5" t="s">
        <v>846</v>
      </c>
      <c r="S50" s="5" t="b">
        <f t="shared" si="0"/>
        <v>1</v>
      </c>
    </row>
    <row r="51" spans="1:19" s="5" customFormat="1" ht="42" customHeight="1">
      <c r="A51" s="2">
        <v>49</v>
      </c>
      <c r="B51" s="12">
        <v>2544640530</v>
      </c>
      <c r="C51" s="21">
        <v>250371509072</v>
      </c>
      <c r="D51" s="17">
        <f t="shared" si="1"/>
        <v>250118</v>
      </c>
      <c r="E51" s="22" t="s">
        <v>847</v>
      </c>
      <c r="F51" s="12" t="s">
        <v>29</v>
      </c>
      <c r="G51" s="20" t="s">
        <v>15</v>
      </c>
      <c r="H51" s="19" t="s">
        <v>34</v>
      </c>
      <c r="I51" s="16" t="s">
        <v>3</v>
      </c>
      <c r="J51" s="16" t="s">
        <v>8</v>
      </c>
      <c r="K51" s="16" t="s">
        <v>4</v>
      </c>
      <c r="L51" s="16" t="s">
        <v>3</v>
      </c>
      <c r="M51" s="16" t="s">
        <v>6</v>
      </c>
      <c r="N51" s="16" t="s">
        <v>2</v>
      </c>
      <c r="O51" s="16" t="s">
        <v>8</v>
      </c>
      <c r="P51" s="11" t="s">
        <v>17</v>
      </c>
      <c r="Q51" s="4">
        <v>8.2222222222222214</v>
      </c>
      <c r="R51" s="5" t="s">
        <v>847</v>
      </c>
      <c r="S51" s="5" t="b">
        <f t="shared" si="0"/>
        <v>1</v>
      </c>
    </row>
    <row r="52" spans="1:19" s="5" customFormat="1" ht="42" customHeight="1">
      <c r="A52" s="2">
        <v>50</v>
      </c>
      <c r="B52" s="12">
        <v>2544640547</v>
      </c>
      <c r="C52" s="21">
        <v>250371509073</v>
      </c>
      <c r="D52" s="17">
        <f t="shared" si="1"/>
        <v>250119</v>
      </c>
      <c r="E52" s="22" t="s">
        <v>848</v>
      </c>
      <c r="F52" s="12" t="s">
        <v>29</v>
      </c>
      <c r="G52" s="20" t="s">
        <v>15</v>
      </c>
      <c r="H52" s="19" t="s">
        <v>34</v>
      </c>
      <c r="I52" s="16" t="s">
        <v>4</v>
      </c>
      <c r="J52" s="16" t="s">
        <v>2</v>
      </c>
      <c r="K52" s="16" t="s">
        <v>3</v>
      </c>
      <c r="L52" s="16" t="s">
        <v>2</v>
      </c>
      <c r="M52" s="16" t="s">
        <v>2</v>
      </c>
      <c r="N52" s="16" t="s">
        <v>8</v>
      </c>
      <c r="O52" s="16" t="s">
        <v>8</v>
      </c>
      <c r="P52" s="11" t="s">
        <v>17</v>
      </c>
      <c r="Q52" s="4">
        <v>8.6666666666666661</v>
      </c>
      <c r="R52" s="5" t="s">
        <v>848</v>
      </c>
      <c r="S52" s="5" t="b">
        <f t="shared" si="0"/>
        <v>1</v>
      </c>
    </row>
    <row r="53" spans="1:19" s="5" customFormat="1" ht="42" customHeight="1">
      <c r="A53" s="2">
        <v>51</v>
      </c>
      <c r="B53" s="12">
        <v>2544640628</v>
      </c>
      <c r="C53" s="21">
        <v>250371509075</v>
      </c>
      <c r="D53" s="17">
        <f t="shared" si="1"/>
        <v>250120</v>
      </c>
      <c r="E53" s="22" t="s">
        <v>849</v>
      </c>
      <c r="F53" s="12" t="s">
        <v>29</v>
      </c>
      <c r="G53" s="20" t="s">
        <v>15</v>
      </c>
      <c r="H53" s="19" t="s">
        <v>34</v>
      </c>
      <c r="I53" s="16" t="s">
        <v>4</v>
      </c>
      <c r="J53" s="16" t="s">
        <v>4</v>
      </c>
      <c r="K53" s="16" t="s">
        <v>4</v>
      </c>
      <c r="L53" s="16" t="s">
        <v>6</v>
      </c>
      <c r="M53" s="16" t="s">
        <v>4</v>
      </c>
      <c r="N53" s="16" t="s">
        <v>3</v>
      </c>
      <c r="O53" s="16" t="s">
        <v>8</v>
      </c>
      <c r="P53" s="11" t="s">
        <v>17</v>
      </c>
      <c r="Q53" s="4">
        <v>7</v>
      </c>
      <c r="R53" s="5" t="s">
        <v>849</v>
      </c>
      <c r="S53" s="5" t="b">
        <f t="shared" si="0"/>
        <v>1</v>
      </c>
    </row>
    <row r="54" spans="1:19" s="5" customFormat="1" ht="42" customHeight="1">
      <c r="A54" s="2">
        <v>52</v>
      </c>
      <c r="B54" s="12">
        <v>2544640200</v>
      </c>
      <c r="C54" s="21">
        <v>250371509078</v>
      </c>
      <c r="D54" s="17">
        <f t="shared" si="1"/>
        <v>250121</v>
      </c>
      <c r="E54" s="22" t="s">
        <v>850</v>
      </c>
      <c r="F54" s="12" t="s">
        <v>29</v>
      </c>
      <c r="G54" s="20" t="s">
        <v>15</v>
      </c>
      <c r="H54" s="19" t="s">
        <v>34</v>
      </c>
      <c r="I54" s="16" t="s">
        <v>3</v>
      </c>
      <c r="J54" s="16" t="s">
        <v>8</v>
      </c>
      <c r="K54" s="16" t="s">
        <v>3</v>
      </c>
      <c r="L54" s="16" t="s">
        <v>2</v>
      </c>
      <c r="M54" s="16" t="s">
        <v>2</v>
      </c>
      <c r="N54" s="16" t="s">
        <v>8</v>
      </c>
      <c r="O54" s="16" t="s">
        <v>8</v>
      </c>
      <c r="P54" s="11" t="s">
        <v>17</v>
      </c>
      <c r="Q54" s="4">
        <v>9</v>
      </c>
      <c r="R54" s="5" t="s">
        <v>850</v>
      </c>
      <c r="S54" s="5" t="b">
        <f t="shared" si="0"/>
        <v>1</v>
      </c>
    </row>
    <row r="55" spans="1:19" s="5" customFormat="1" ht="42" customHeight="1">
      <c r="A55" s="2">
        <v>53</v>
      </c>
      <c r="B55" s="12">
        <v>2544640118</v>
      </c>
      <c r="C55" s="21">
        <v>250371509080</v>
      </c>
      <c r="D55" s="17">
        <f t="shared" si="1"/>
        <v>250122</v>
      </c>
      <c r="E55" s="22" t="s">
        <v>851</v>
      </c>
      <c r="F55" s="12" t="s">
        <v>29</v>
      </c>
      <c r="G55" s="20" t="s">
        <v>15</v>
      </c>
      <c r="H55" s="19" t="s">
        <v>34</v>
      </c>
      <c r="I55" s="16" t="s">
        <v>3</v>
      </c>
      <c r="J55" s="16" t="s">
        <v>3</v>
      </c>
      <c r="K55" s="16" t="s">
        <v>2</v>
      </c>
      <c r="L55" s="16" t="s">
        <v>2</v>
      </c>
      <c r="M55" s="16" t="s">
        <v>2</v>
      </c>
      <c r="N55" s="16" t="s">
        <v>8</v>
      </c>
      <c r="O55" s="16" t="s">
        <v>8</v>
      </c>
      <c r="P55" s="11" t="s">
        <v>17</v>
      </c>
      <c r="Q55" s="4">
        <v>8.8888888888888893</v>
      </c>
      <c r="R55" s="5" t="s">
        <v>851</v>
      </c>
      <c r="S55" s="5" t="b">
        <f t="shared" si="0"/>
        <v>1</v>
      </c>
    </row>
    <row r="56" spans="1:19" s="5" customFormat="1" ht="42" customHeight="1">
      <c r="A56" s="2">
        <v>54</v>
      </c>
      <c r="B56" s="12">
        <v>2544640150</v>
      </c>
      <c r="C56" s="21">
        <v>250371509081</v>
      </c>
      <c r="D56" s="17">
        <f t="shared" si="1"/>
        <v>250123</v>
      </c>
      <c r="E56" s="22" t="s">
        <v>852</v>
      </c>
      <c r="F56" s="12" t="s">
        <v>29</v>
      </c>
      <c r="G56" s="20" t="s">
        <v>15</v>
      </c>
      <c r="H56" s="19" t="s">
        <v>34</v>
      </c>
      <c r="I56" s="16" t="s">
        <v>1516</v>
      </c>
      <c r="J56" s="16" t="s">
        <v>1516</v>
      </c>
      <c r="K56" s="16" t="s">
        <v>1516</v>
      </c>
      <c r="L56" s="16" t="s">
        <v>1516</v>
      </c>
      <c r="M56" s="16" t="s">
        <v>1516</v>
      </c>
      <c r="N56" s="16" t="s">
        <v>1516</v>
      </c>
      <c r="O56" s="16" t="s">
        <v>1516</v>
      </c>
      <c r="P56" s="11" t="s">
        <v>1516</v>
      </c>
      <c r="Q56" s="4">
        <v>0</v>
      </c>
      <c r="R56" s="5" t="s">
        <v>852</v>
      </c>
      <c r="S56" s="5" t="b">
        <f t="shared" si="0"/>
        <v>1</v>
      </c>
    </row>
    <row r="57" spans="1:19" s="5" customFormat="1" ht="42" customHeight="1">
      <c r="A57" s="2">
        <v>55</v>
      </c>
      <c r="B57" s="12">
        <v>2544640796</v>
      </c>
      <c r="C57" s="21">
        <v>250371509082</v>
      </c>
      <c r="D57" s="17">
        <f t="shared" si="1"/>
        <v>250124</v>
      </c>
      <c r="E57" s="22" t="s">
        <v>853</v>
      </c>
      <c r="F57" s="12" t="s">
        <v>29</v>
      </c>
      <c r="G57" s="20" t="s">
        <v>15</v>
      </c>
      <c r="H57" s="19" t="s">
        <v>34</v>
      </c>
      <c r="I57" s="16" t="s">
        <v>4</v>
      </c>
      <c r="J57" s="16" t="s">
        <v>8</v>
      </c>
      <c r="K57" s="16" t="s">
        <v>3</v>
      </c>
      <c r="L57" s="16" t="s">
        <v>2</v>
      </c>
      <c r="M57" s="16" t="s">
        <v>2</v>
      </c>
      <c r="N57" s="16" t="s">
        <v>2</v>
      </c>
      <c r="O57" s="16" t="s">
        <v>8</v>
      </c>
      <c r="P57" s="11" t="s">
        <v>17</v>
      </c>
      <c r="Q57" s="4">
        <v>8.6666666666666661</v>
      </c>
      <c r="R57" s="5" t="s">
        <v>853</v>
      </c>
      <c r="S57" s="5" t="b">
        <f t="shared" si="0"/>
        <v>1</v>
      </c>
    </row>
    <row r="58" spans="1:19" s="5" customFormat="1" ht="42" customHeight="1">
      <c r="A58" s="2">
        <v>56</v>
      </c>
      <c r="B58" s="12">
        <v>2544640180</v>
      </c>
      <c r="C58" s="21">
        <v>250371509084</v>
      </c>
      <c r="D58" s="17">
        <f t="shared" si="1"/>
        <v>250125</v>
      </c>
      <c r="E58" s="22" t="s">
        <v>854</v>
      </c>
      <c r="F58" s="12" t="s">
        <v>29</v>
      </c>
      <c r="G58" s="20" t="s">
        <v>15</v>
      </c>
      <c r="H58" s="19" t="s">
        <v>34</v>
      </c>
      <c r="I58" s="16" t="s">
        <v>5</v>
      </c>
      <c r="J58" s="16" t="s">
        <v>4</v>
      </c>
      <c r="K58" s="16" t="s">
        <v>4</v>
      </c>
      <c r="L58" s="16" t="s">
        <v>4</v>
      </c>
      <c r="M58" s="16" t="s">
        <v>2</v>
      </c>
      <c r="N58" s="16" t="s">
        <v>4</v>
      </c>
      <c r="O58" s="16" t="s">
        <v>3</v>
      </c>
      <c r="P58" s="11" t="s">
        <v>17</v>
      </c>
      <c r="Q58" s="4">
        <v>7</v>
      </c>
      <c r="R58" s="5" t="s">
        <v>854</v>
      </c>
      <c r="S58" s="5" t="b">
        <f t="shared" si="0"/>
        <v>1</v>
      </c>
    </row>
    <row r="59" spans="1:19" s="5" customFormat="1" ht="42" customHeight="1">
      <c r="A59" s="2">
        <v>57</v>
      </c>
      <c r="B59" s="12">
        <v>2544640925</v>
      </c>
      <c r="C59" s="21">
        <v>250371509086</v>
      </c>
      <c r="D59" s="17">
        <f t="shared" si="1"/>
        <v>250126</v>
      </c>
      <c r="E59" s="22" t="s">
        <v>855</v>
      </c>
      <c r="F59" s="12" t="s">
        <v>29</v>
      </c>
      <c r="G59" s="20" t="s">
        <v>15</v>
      </c>
      <c r="H59" s="19" t="s">
        <v>34</v>
      </c>
      <c r="I59" s="16" t="s">
        <v>2</v>
      </c>
      <c r="J59" s="16" t="s">
        <v>2</v>
      </c>
      <c r="K59" s="16" t="s">
        <v>2</v>
      </c>
      <c r="L59" s="16" t="s">
        <v>8</v>
      </c>
      <c r="M59" s="16" t="s">
        <v>2</v>
      </c>
      <c r="N59" s="16" t="s">
        <v>8</v>
      </c>
      <c r="O59" s="16" t="s">
        <v>8</v>
      </c>
      <c r="P59" s="11" t="s">
        <v>17</v>
      </c>
      <c r="Q59" s="4">
        <v>9.3888888888888893</v>
      </c>
      <c r="R59" s="5" t="s">
        <v>855</v>
      </c>
      <c r="S59" s="5" t="b">
        <f t="shared" si="0"/>
        <v>1</v>
      </c>
    </row>
    <row r="60" spans="1:19" s="5" customFormat="1" ht="42" customHeight="1">
      <c r="A60" s="2">
        <v>58</v>
      </c>
      <c r="B60" s="12">
        <v>2544640665</v>
      </c>
      <c r="C60" s="21">
        <v>250371509087</v>
      </c>
      <c r="D60" s="17">
        <f t="shared" si="1"/>
        <v>250127</v>
      </c>
      <c r="E60" s="22" t="s">
        <v>856</v>
      </c>
      <c r="F60" s="12" t="s">
        <v>29</v>
      </c>
      <c r="G60" s="20" t="s">
        <v>15</v>
      </c>
      <c r="H60" s="19" t="s">
        <v>34</v>
      </c>
      <c r="I60" s="16" t="s">
        <v>4</v>
      </c>
      <c r="J60" s="16" t="s">
        <v>6</v>
      </c>
      <c r="K60" s="16" t="s">
        <v>3</v>
      </c>
      <c r="L60" s="16" t="s">
        <v>2</v>
      </c>
      <c r="M60" s="16" t="s">
        <v>2</v>
      </c>
      <c r="N60" s="16" t="s">
        <v>3</v>
      </c>
      <c r="O60" s="16" t="s">
        <v>8</v>
      </c>
      <c r="P60" s="11" t="s">
        <v>17</v>
      </c>
      <c r="Q60" s="4">
        <v>7.666666666666667</v>
      </c>
      <c r="R60" s="5" t="s">
        <v>856</v>
      </c>
      <c r="S60" s="5" t="b">
        <f t="shared" si="0"/>
        <v>1</v>
      </c>
    </row>
    <row r="61" spans="1:19" s="5" customFormat="1" ht="42" customHeight="1">
      <c r="A61" s="2">
        <v>59</v>
      </c>
      <c r="B61" s="12">
        <v>2544640159</v>
      </c>
      <c r="C61" s="21">
        <v>250371509088</v>
      </c>
      <c r="D61" s="17">
        <f t="shared" si="1"/>
        <v>250128</v>
      </c>
      <c r="E61" s="22" t="s">
        <v>857</v>
      </c>
      <c r="F61" s="12" t="s">
        <v>29</v>
      </c>
      <c r="G61" s="20" t="s">
        <v>15</v>
      </c>
      <c r="H61" s="19" t="s">
        <v>34</v>
      </c>
      <c r="I61" s="16" t="s">
        <v>3</v>
      </c>
      <c r="J61" s="16" t="s">
        <v>2</v>
      </c>
      <c r="K61" s="16" t="s">
        <v>3</v>
      </c>
      <c r="L61" s="16" t="s">
        <v>2</v>
      </c>
      <c r="M61" s="16" t="s">
        <v>3</v>
      </c>
      <c r="N61" s="16" t="s">
        <v>4</v>
      </c>
      <c r="O61" s="16" t="s">
        <v>8</v>
      </c>
      <c r="P61" s="11" t="s">
        <v>17</v>
      </c>
      <c r="Q61" s="4">
        <v>8.2777777777777786</v>
      </c>
      <c r="R61" s="5" t="s">
        <v>857</v>
      </c>
      <c r="S61" s="5" t="b">
        <f t="shared" si="0"/>
        <v>1</v>
      </c>
    </row>
    <row r="62" spans="1:19" s="5" customFormat="1" ht="42" customHeight="1">
      <c r="A62" s="2">
        <v>60</v>
      </c>
      <c r="B62" s="12">
        <v>2544640493</v>
      </c>
      <c r="C62" s="21">
        <v>250371509089</v>
      </c>
      <c r="D62" s="17">
        <f t="shared" si="1"/>
        <v>250129</v>
      </c>
      <c r="E62" s="22" t="s">
        <v>858</v>
      </c>
      <c r="F62" s="12" t="s">
        <v>29</v>
      </c>
      <c r="G62" s="20" t="s">
        <v>15</v>
      </c>
      <c r="H62" s="19" t="s">
        <v>34</v>
      </c>
      <c r="I62" s="16" t="s">
        <v>4</v>
      </c>
      <c r="J62" s="16" t="s">
        <v>2</v>
      </c>
      <c r="K62" s="16" t="s">
        <v>3</v>
      </c>
      <c r="L62" s="16" t="s">
        <v>2</v>
      </c>
      <c r="M62" s="16" t="s">
        <v>4</v>
      </c>
      <c r="N62" s="16" t="s">
        <v>3</v>
      </c>
      <c r="O62" s="16" t="s">
        <v>2</v>
      </c>
      <c r="P62" s="11" t="s">
        <v>17</v>
      </c>
      <c r="Q62" s="4">
        <v>8.1666666666666661</v>
      </c>
      <c r="R62" s="5" t="s">
        <v>858</v>
      </c>
      <c r="S62" s="5" t="b">
        <f t="shared" si="0"/>
        <v>1</v>
      </c>
    </row>
    <row r="63" spans="1:19" s="5" customFormat="1" ht="42" customHeight="1">
      <c r="A63" s="2">
        <v>61</v>
      </c>
      <c r="B63" s="12">
        <v>2544640238</v>
      </c>
      <c r="C63" s="21">
        <v>250371509092</v>
      </c>
      <c r="D63" s="17">
        <f t="shared" si="1"/>
        <v>250130</v>
      </c>
      <c r="E63" s="22" t="s">
        <v>859</v>
      </c>
      <c r="F63" s="12" t="s">
        <v>29</v>
      </c>
      <c r="G63" s="20" t="s">
        <v>15</v>
      </c>
      <c r="H63" s="19" t="s">
        <v>34</v>
      </c>
      <c r="I63" s="16" t="s">
        <v>3</v>
      </c>
      <c r="J63" s="16" t="s">
        <v>2</v>
      </c>
      <c r="K63" s="16" t="s">
        <v>3</v>
      </c>
      <c r="L63" s="16" t="s">
        <v>8</v>
      </c>
      <c r="M63" s="16" t="s">
        <v>3</v>
      </c>
      <c r="N63" s="16" t="s">
        <v>2</v>
      </c>
      <c r="O63" s="16" t="s">
        <v>2</v>
      </c>
      <c r="P63" s="11" t="s">
        <v>17</v>
      </c>
      <c r="Q63" s="4">
        <v>8.7222222222222214</v>
      </c>
      <c r="R63" s="5" t="s">
        <v>859</v>
      </c>
      <c r="S63" s="5" t="b">
        <f t="shared" si="0"/>
        <v>1</v>
      </c>
    </row>
    <row r="64" spans="1:19" s="5" customFormat="1" ht="42" customHeight="1">
      <c r="A64" s="2">
        <v>62</v>
      </c>
      <c r="B64" s="12">
        <v>2544640726</v>
      </c>
      <c r="C64" s="21">
        <v>250371509093</v>
      </c>
      <c r="D64" s="17">
        <f t="shared" si="1"/>
        <v>250131</v>
      </c>
      <c r="E64" s="22" t="s">
        <v>860</v>
      </c>
      <c r="F64" s="12" t="s">
        <v>29</v>
      </c>
      <c r="G64" s="20" t="s">
        <v>15</v>
      </c>
      <c r="H64" s="19" t="s">
        <v>34</v>
      </c>
      <c r="I64" s="16" t="s">
        <v>3</v>
      </c>
      <c r="J64" s="16" t="s">
        <v>3</v>
      </c>
      <c r="K64" s="16" t="s">
        <v>3</v>
      </c>
      <c r="L64" s="16" t="s">
        <v>3</v>
      </c>
      <c r="M64" s="16" t="s">
        <v>8</v>
      </c>
      <c r="N64" s="16" t="s">
        <v>2</v>
      </c>
      <c r="O64" s="16" t="s">
        <v>8</v>
      </c>
      <c r="P64" s="11" t="s">
        <v>17</v>
      </c>
      <c r="Q64" s="4">
        <v>8.3888888888888893</v>
      </c>
      <c r="R64" s="5" t="s">
        <v>860</v>
      </c>
      <c r="S64" s="5" t="b">
        <f t="shared" si="0"/>
        <v>1</v>
      </c>
    </row>
    <row r="65" spans="1:19" s="5" customFormat="1" ht="42" customHeight="1">
      <c r="A65" s="2">
        <v>63</v>
      </c>
      <c r="B65" s="12">
        <v>2544640687</v>
      </c>
      <c r="C65" s="21">
        <v>250371509094</v>
      </c>
      <c r="D65" s="17">
        <f t="shared" si="1"/>
        <v>250132</v>
      </c>
      <c r="E65" s="22" t="s">
        <v>861</v>
      </c>
      <c r="F65" s="12" t="s">
        <v>29</v>
      </c>
      <c r="G65" s="20" t="s">
        <v>15</v>
      </c>
      <c r="H65" s="19" t="s">
        <v>34</v>
      </c>
      <c r="I65" s="16" t="s">
        <v>4</v>
      </c>
      <c r="J65" s="16" t="s">
        <v>8</v>
      </c>
      <c r="K65" s="16" t="s">
        <v>3</v>
      </c>
      <c r="L65" s="16" t="s">
        <v>2</v>
      </c>
      <c r="M65" s="16" t="s">
        <v>8</v>
      </c>
      <c r="N65" s="16" t="s">
        <v>2</v>
      </c>
      <c r="O65" s="16" t="s">
        <v>8</v>
      </c>
      <c r="P65" s="11" t="s">
        <v>17</v>
      </c>
      <c r="Q65" s="4">
        <v>8.7222222222222214</v>
      </c>
      <c r="R65" s="5" t="s">
        <v>861</v>
      </c>
      <c r="S65" s="5" t="b">
        <f t="shared" si="0"/>
        <v>1</v>
      </c>
    </row>
    <row r="66" spans="1:19" s="5" customFormat="1" ht="42" customHeight="1">
      <c r="A66" s="2">
        <v>64</v>
      </c>
      <c r="B66" s="12">
        <v>2544640976</v>
      </c>
      <c r="C66" s="21">
        <v>250371509095</v>
      </c>
      <c r="D66" s="17">
        <f t="shared" si="1"/>
        <v>250133</v>
      </c>
      <c r="E66" s="22" t="s">
        <v>862</v>
      </c>
      <c r="F66" s="12" t="s">
        <v>29</v>
      </c>
      <c r="G66" s="20" t="s">
        <v>15</v>
      </c>
      <c r="H66" s="19" t="s">
        <v>34</v>
      </c>
      <c r="I66" s="16" t="s">
        <v>5</v>
      </c>
      <c r="J66" s="16" t="s">
        <v>3</v>
      </c>
      <c r="K66" s="16" t="s">
        <v>4</v>
      </c>
      <c r="L66" s="16" t="s">
        <v>2</v>
      </c>
      <c r="M66" s="16" t="s">
        <v>2</v>
      </c>
      <c r="N66" s="16" t="s">
        <v>2</v>
      </c>
      <c r="O66" s="16" t="s">
        <v>8</v>
      </c>
      <c r="P66" s="11" t="s">
        <v>17</v>
      </c>
      <c r="Q66" s="4">
        <v>7.9444444444444446</v>
      </c>
      <c r="R66" s="5" t="s">
        <v>862</v>
      </c>
      <c r="S66" s="5" t="b">
        <f t="shared" si="0"/>
        <v>1</v>
      </c>
    </row>
    <row r="67" spans="1:19" s="5" customFormat="1" ht="42" customHeight="1">
      <c r="A67" s="2">
        <v>65</v>
      </c>
      <c r="B67" s="12">
        <v>2544640471</v>
      </c>
      <c r="C67" s="21">
        <v>250371509096</v>
      </c>
      <c r="D67" s="17">
        <f t="shared" si="1"/>
        <v>250134</v>
      </c>
      <c r="E67" s="22" t="s">
        <v>863</v>
      </c>
      <c r="F67" s="12" t="s">
        <v>29</v>
      </c>
      <c r="G67" s="20" t="s">
        <v>15</v>
      </c>
      <c r="H67" s="19" t="s">
        <v>34</v>
      </c>
      <c r="I67" s="16" t="s">
        <v>3</v>
      </c>
      <c r="J67" s="16" t="s">
        <v>2</v>
      </c>
      <c r="K67" s="16" t="s">
        <v>3</v>
      </c>
      <c r="L67" s="16" t="s">
        <v>2</v>
      </c>
      <c r="M67" s="16" t="s">
        <v>3</v>
      </c>
      <c r="N67" s="16" t="s">
        <v>2</v>
      </c>
      <c r="O67" s="16" t="s">
        <v>2</v>
      </c>
      <c r="P67" s="11" t="s">
        <v>17</v>
      </c>
      <c r="Q67" s="4">
        <v>8.5555555555555554</v>
      </c>
      <c r="R67" s="5" t="s">
        <v>863</v>
      </c>
      <c r="S67" s="5" t="b">
        <f t="shared" si="0"/>
        <v>1</v>
      </c>
    </row>
    <row r="68" spans="1:19" s="5" customFormat="1" ht="42" customHeight="1">
      <c r="A68" s="2">
        <v>66</v>
      </c>
      <c r="B68" s="12">
        <v>2544640390</v>
      </c>
      <c r="C68" s="21">
        <v>250371509097</v>
      </c>
      <c r="D68" s="17">
        <f t="shared" si="1"/>
        <v>250135</v>
      </c>
      <c r="E68" s="22" t="s">
        <v>864</v>
      </c>
      <c r="F68" s="12" t="s">
        <v>29</v>
      </c>
      <c r="G68" s="20" t="s">
        <v>15</v>
      </c>
      <c r="H68" s="19" t="s">
        <v>34</v>
      </c>
      <c r="I68" s="16" t="s">
        <v>3</v>
      </c>
      <c r="J68" s="16" t="s">
        <v>3</v>
      </c>
      <c r="K68" s="16" t="s">
        <v>4</v>
      </c>
      <c r="L68" s="16" t="s">
        <v>4</v>
      </c>
      <c r="M68" s="16" t="s">
        <v>8</v>
      </c>
      <c r="N68" s="16" t="s">
        <v>2</v>
      </c>
      <c r="O68" s="16" t="s">
        <v>8</v>
      </c>
      <c r="P68" s="11" t="s">
        <v>17</v>
      </c>
      <c r="Q68" s="4">
        <v>8</v>
      </c>
      <c r="R68" s="5" t="s">
        <v>864</v>
      </c>
      <c r="S68" s="5" t="b">
        <f t="shared" ref="S68:S131" si="2">R68=E68</f>
        <v>1</v>
      </c>
    </row>
    <row r="69" spans="1:19" s="5" customFormat="1" ht="42" customHeight="1">
      <c r="A69" s="2">
        <v>67</v>
      </c>
      <c r="B69" s="12">
        <v>2544640480</v>
      </c>
      <c r="C69" s="21">
        <v>250371509098</v>
      </c>
      <c r="D69" s="17">
        <f t="shared" ref="D69:D132" si="3">D68+1</f>
        <v>250136</v>
      </c>
      <c r="E69" s="22" t="s">
        <v>865</v>
      </c>
      <c r="F69" s="12" t="s">
        <v>29</v>
      </c>
      <c r="G69" s="20" t="s">
        <v>15</v>
      </c>
      <c r="H69" s="19" t="s">
        <v>34</v>
      </c>
      <c r="I69" s="16" t="s">
        <v>3</v>
      </c>
      <c r="J69" s="16" t="s">
        <v>8</v>
      </c>
      <c r="K69" s="16" t="s">
        <v>3</v>
      </c>
      <c r="L69" s="16" t="s">
        <v>2</v>
      </c>
      <c r="M69" s="16" t="s">
        <v>3</v>
      </c>
      <c r="N69" s="16" t="s">
        <v>2</v>
      </c>
      <c r="O69" s="16" t="s">
        <v>2</v>
      </c>
      <c r="P69" s="11" t="s">
        <v>17</v>
      </c>
      <c r="Q69" s="4">
        <v>8.7222222222222214</v>
      </c>
      <c r="R69" s="5" t="s">
        <v>865</v>
      </c>
      <c r="S69" s="5" t="b">
        <f t="shared" si="2"/>
        <v>1</v>
      </c>
    </row>
    <row r="70" spans="1:19" s="5" customFormat="1" ht="42" customHeight="1">
      <c r="A70" s="2">
        <v>68</v>
      </c>
      <c r="B70" s="12">
        <v>2544641117</v>
      </c>
      <c r="C70" s="21">
        <v>250371509100</v>
      </c>
      <c r="D70" s="17">
        <f t="shared" si="3"/>
        <v>250137</v>
      </c>
      <c r="E70" s="22" t="s">
        <v>866</v>
      </c>
      <c r="F70" s="12" t="s">
        <v>29</v>
      </c>
      <c r="G70" s="20" t="s">
        <v>15</v>
      </c>
      <c r="H70" s="19" t="s">
        <v>34</v>
      </c>
      <c r="I70" s="16" t="s">
        <v>4</v>
      </c>
      <c r="J70" s="16" t="s">
        <v>4</v>
      </c>
      <c r="K70" s="16" t="s">
        <v>4</v>
      </c>
      <c r="L70" s="16" t="s">
        <v>5</v>
      </c>
      <c r="M70" s="16" t="s">
        <v>3</v>
      </c>
      <c r="N70" s="16" t="s">
        <v>1517</v>
      </c>
      <c r="O70" s="16" t="s">
        <v>8</v>
      </c>
      <c r="P70" s="11" t="s">
        <v>1517</v>
      </c>
      <c r="Q70" s="4">
        <v>0</v>
      </c>
      <c r="R70" s="5" t="s">
        <v>866</v>
      </c>
      <c r="S70" s="5" t="b">
        <f t="shared" si="2"/>
        <v>1</v>
      </c>
    </row>
    <row r="71" spans="1:19" s="5" customFormat="1" ht="42" customHeight="1">
      <c r="A71" s="2">
        <v>69</v>
      </c>
      <c r="B71" s="12">
        <v>2544641093</v>
      </c>
      <c r="C71" s="21">
        <v>250371509102</v>
      </c>
      <c r="D71" s="17">
        <f t="shared" si="3"/>
        <v>250138</v>
      </c>
      <c r="E71" s="22" t="s">
        <v>867</v>
      </c>
      <c r="F71" s="12" t="s">
        <v>29</v>
      </c>
      <c r="G71" s="20" t="s">
        <v>15</v>
      </c>
      <c r="H71" s="19" t="s">
        <v>34</v>
      </c>
      <c r="I71" s="16" t="s">
        <v>1516</v>
      </c>
      <c r="J71" s="16" t="s">
        <v>1516</v>
      </c>
      <c r="K71" s="16" t="s">
        <v>1516</v>
      </c>
      <c r="L71" s="16" t="s">
        <v>1516</v>
      </c>
      <c r="M71" s="16" t="s">
        <v>1516</v>
      </c>
      <c r="N71" s="16" t="s">
        <v>1516</v>
      </c>
      <c r="O71" s="16" t="s">
        <v>1516</v>
      </c>
      <c r="P71" s="11" t="s">
        <v>1516</v>
      </c>
      <c r="Q71" s="4">
        <v>0</v>
      </c>
      <c r="R71" s="5" t="s">
        <v>867</v>
      </c>
      <c r="S71" s="5" t="b">
        <f t="shared" si="2"/>
        <v>1</v>
      </c>
    </row>
    <row r="72" spans="1:19" s="5" customFormat="1" ht="42" customHeight="1">
      <c r="A72" s="2">
        <v>70</v>
      </c>
      <c r="B72" s="12">
        <v>2544640906</v>
      </c>
      <c r="C72" s="21">
        <v>250371509103</v>
      </c>
      <c r="D72" s="17">
        <f t="shared" si="3"/>
        <v>250139</v>
      </c>
      <c r="E72" s="22" t="s">
        <v>868</v>
      </c>
      <c r="F72" s="12" t="s">
        <v>29</v>
      </c>
      <c r="G72" s="20" t="s">
        <v>15</v>
      </c>
      <c r="H72" s="19" t="s">
        <v>34</v>
      </c>
      <c r="I72" s="16" t="s">
        <v>2</v>
      </c>
      <c r="J72" s="16" t="s">
        <v>8</v>
      </c>
      <c r="K72" s="16" t="s">
        <v>2</v>
      </c>
      <c r="L72" s="16" t="s">
        <v>8</v>
      </c>
      <c r="M72" s="16" t="s">
        <v>3</v>
      </c>
      <c r="N72" s="16" t="s">
        <v>8</v>
      </c>
      <c r="O72" s="16" t="s">
        <v>8</v>
      </c>
      <c r="P72" s="11" t="s">
        <v>17</v>
      </c>
      <c r="Q72" s="4">
        <v>9.5</v>
      </c>
      <c r="R72" s="5" t="s">
        <v>868</v>
      </c>
      <c r="S72" s="5" t="b">
        <f t="shared" si="2"/>
        <v>1</v>
      </c>
    </row>
    <row r="73" spans="1:19" s="5" customFormat="1" ht="42" customHeight="1">
      <c r="A73" s="2">
        <v>71</v>
      </c>
      <c r="B73" s="12">
        <v>2544640322</v>
      </c>
      <c r="C73" s="21">
        <v>250371509105</v>
      </c>
      <c r="D73" s="17">
        <f t="shared" si="3"/>
        <v>250140</v>
      </c>
      <c r="E73" s="22" t="s">
        <v>869</v>
      </c>
      <c r="F73" s="12" t="s">
        <v>29</v>
      </c>
      <c r="G73" s="20" t="s">
        <v>15</v>
      </c>
      <c r="H73" s="19" t="s">
        <v>34</v>
      </c>
      <c r="I73" s="16" t="s">
        <v>4</v>
      </c>
      <c r="J73" s="16" t="s">
        <v>8</v>
      </c>
      <c r="K73" s="16" t="s">
        <v>2</v>
      </c>
      <c r="L73" s="16" t="s">
        <v>2</v>
      </c>
      <c r="M73" s="16" t="s">
        <v>2</v>
      </c>
      <c r="N73" s="16" t="s">
        <v>8</v>
      </c>
      <c r="O73" s="16" t="s">
        <v>8</v>
      </c>
      <c r="P73" s="11" t="s">
        <v>17</v>
      </c>
      <c r="Q73" s="4">
        <v>9.0555555555555554</v>
      </c>
      <c r="R73" s="5" t="s">
        <v>869</v>
      </c>
      <c r="S73" s="5" t="b">
        <f t="shared" si="2"/>
        <v>1</v>
      </c>
    </row>
    <row r="74" spans="1:19" s="5" customFormat="1" ht="42" customHeight="1">
      <c r="A74" s="2">
        <v>72</v>
      </c>
      <c r="B74" s="12">
        <v>2544641088</v>
      </c>
      <c r="C74" s="21">
        <v>250371509110</v>
      </c>
      <c r="D74" s="17">
        <f t="shared" si="3"/>
        <v>250141</v>
      </c>
      <c r="E74" s="22" t="s">
        <v>870</v>
      </c>
      <c r="F74" s="12" t="s">
        <v>29</v>
      </c>
      <c r="G74" s="20" t="s">
        <v>15</v>
      </c>
      <c r="H74" s="19" t="s">
        <v>34</v>
      </c>
      <c r="I74" s="16" t="s">
        <v>4</v>
      </c>
      <c r="J74" s="16" t="s">
        <v>3</v>
      </c>
      <c r="K74" s="16" t="s">
        <v>4</v>
      </c>
      <c r="L74" s="16" t="s">
        <v>2</v>
      </c>
      <c r="M74" s="16" t="s">
        <v>4</v>
      </c>
      <c r="N74" s="16" t="s">
        <v>2</v>
      </c>
      <c r="O74" s="16" t="s">
        <v>8</v>
      </c>
      <c r="P74" s="11" t="s">
        <v>17</v>
      </c>
      <c r="Q74" s="4">
        <v>8</v>
      </c>
      <c r="R74" s="5" t="s">
        <v>870</v>
      </c>
      <c r="S74" s="5" t="b">
        <f t="shared" si="2"/>
        <v>1</v>
      </c>
    </row>
    <row r="75" spans="1:19" s="5" customFormat="1" ht="42" customHeight="1">
      <c r="A75" s="2">
        <v>73</v>
      </c>
      <c r="B75" s="12">
        <v>2544640754</v>
      </c>
      <c r="C75" s="21">
        <v>250371509111</v>
      </c>
      <c r="D75" s="17">
        <f t="shared" si="3"/>
        <v>250142</v>
      </c>
      <c r="E75" s="22" t="s">
        <v>871</v>
      </c>
      <c r="F75" s="12" t="s">
        <v>29</v>
      </c>
      <c r="G75" s="20" t="s">
        <v>15</v>
      </c>
      <c r="H75" s="19" t="s">
        <v>34</v>
      </c>
      <c r="I75" s="16" t="s">
        <v>3</v>
      </c>
      <c r="J75" s="16" t="s">
        <v>8</v>
      </c>
      <c r="K75" s="16" t="s">
        <v>3</v>
      </c>
      <c r="L75" s="16" t="s">
        <v>2</v>
      </c>
      <c r="M75" s="16" t="s">
        <v>3</v>
      </c>
      <c r="N75" s="16" t="s">
        <v>8</v>
      </c>
      <c r="O75" s="16" t="s">
        <v>8</v>
      </c>
      <c r="P75" s="11" t="s">
        <v>17</v>
      </c>
      <c r="Q75" s="4">
        <v>8.9444444444444446</v>
      </c>
      <c r="R75" s="5" t="s">
        <v>871</v>
      </c>
      <c r="S75" s="5" t="b">
        <f t="shared" si="2"/>
        <v>1</v>
      </c>
    </row>
    <row r="76" spans="1:19" s="5" customFormat="1" ht="42" customHeight="1">
      <c r="A76" s="2">
        <v>74</v>
      </c>
      <c r="B76" s="12">
        <v>2544640214</v>
      </c>
      <c r="C76" s="21">
        <v>250371509112</v>
      </c>
      <c r="D76" s="17">
        <f t="shared" si="3"/>
        <v>250143</v>
      </c>
      <c r="E76" s="22" t="s">
        <v>872</v>
      </c>
      <c r="F76" s="12" t="s">
        <v>29</v>
      </c>
      <c r="G76" s="20" t="s">
        <v>15</v>
      </c>
      <c r="H76" s="19" t="s">
        <v>34</v>
      </c>
      <c r="I76" s="16" t="s">
        <v>4</v>
      </c>
      <c r="J76" s="16" t="s">
        <v>8</v>
      </c>
      <c r="K76" s="16" t="s">
        <v>3</v>
      </c>
      <c r="L76" s="16" t="s">
        <v>2</v>
      </c>
      <c r="M76" s="16" t="s">
        <v>8</v>
      </c>
      <c r="N76" s="16" t="s">
        <v>8</v>
      </c>
      <c r="O76" s="16" t="s">
        <v>8</v>
      </c>
      <c r="P76" s="11" t="s">
        <v>17</v>
      </c>
      <c r="Q76" s="4">
        <v>8.8888888888888893</v>
      </c>
      <c r="R76" s="5" t="s">
        <v>872</v>
      </c>
      <c r="S76" s="5" t="b">
        <f t="shared" si="2"/>
        <v>1</v>
      </c>
    </row>
    <row r="77" spans="1:19" s="5" customFormat="1" ht="42" customHeight="1">
      <c r="A77" s="2">
        <v>75</v>
      </c>
      <c r="B77" s="12">
        <v>2544640151</v>
      </c>
      <c r="C77" s="21">
        <v>250371509113</v>
      </c>
      <c r="D77" s="17">
        <f t="shared" si="3"/>
        <v>250144</v>
      </c>
      <c r="E77" s="22" t="s">
        <v>873</v>
      </c>
      <c r="F77" s="12" t="s">
        <v>29</v>
      </c>
      <c r="G77" s="20" t="s">
        <v>15</v>
      </c>
      <c r="H77" s="19" t="s">
        <v>34</v>
      </c>
      <c r="I77" s="16" t="s">
        <v>3</v>
      </c>
      <c r="J77" s="16" t="s">
        <v>2</v>
      </c>
      <c r="K77" s="16" t="s">
        <v>3</v>
      </c>
      <c r="L77" s="16" t="s">
        <v>2</v>
      </c>
      <c r="M77" s="16" t="s">
        <v>8</v>
      </c>
      <c r="N77" s="16" t="s">
        <v>2</v>
      </c>
      <c r="O77" s="16" t="s">
        <v>8</v>
      </c>
      <c r="P77" s="11" t="s">
        <v>17</v>
      </c>
      <c r="Q77" s="4">
        <v>8.7222222222222214</v>
      </c>
      <c r="R77" s="5" t="s">
        <v>873</v>
      </c>
      <c r="S77" s="5" t="b">
        <f t="shared" si="2"/>
        <v>1</v>
      </c>
    </row>
    <row r="78" spans="1:19" s="5" customFormat="1" ht="42" customHeight="1">
      <c r="A78" s="2">
        <v>76</v>
      </c>
      <c r="B78" s="12">
        <v>2544640940</v>
      </c>
      <c r="C78" s="21">
        <v>250371509114</v>
      </c>
      <c r="D78" s="17">
        <f t="shared" si="3"/>
        <v>250145</v>
      </c>
      <c r="E78" s="22" t="s">
        <v>874</v>
      </c>
      <c r="F78" s="12" t="s">
        <v>29</v>
      </c>
      <c r="G78" s="20" t="s">
        <v>15</v>
      </c>
      <c r="H78" s="19" t="s">
        <v>34</v>
      </c>
      <c r="I78" s="16" t="s">
        <v>3</v>
      </c>
      <c r="J78" s="16" t="s">
        <v>8</v>
      </c>
      <c r="K78" s="16" t="s">
        <v>3</v>
      </c>
      <c r="L78" s="16" t="s">
        <v>2</v>
      </c>
      <c r="M78" s="16" t="s">
        <v>3</v>
      </c>
      <c r="N78" s="16" t="s">
        <v>3</v>
      </c>
      <c r="O78" s="16" t="s">
        <v>2</v>
      </c>
      <c r="P78" s="11" t="s">
        <v>17</v>
      </c>
      <c r="Q78" s="4">
        <v>8.5555555555555554</v>
      </c>
      <c r="R78" s="5" t="s">
        <v>874</v>
      </c>
      <c r="S78" s="5" t="b">
        <f t="shared" si="2"/>
        <v>1</v>
      </c>
    </row>
    <row r="79" spans="1:19" s="5" customFormat="1" ht="42" customHeight="1">
      <c r="A79" s="2">
        <v>77</v>
      </c>
      <c r="B79" s="12">
        <v>2544640042</v>
      </c>
      <c r="C79" s="21">
        <v>250371509115</v>
      </c>
      <c r="D79" s="17">
        <f t="shared" si="3"/>
        <v>250146</v>
      </c>
      <c r="E79" s="22" t="s">
        <v>875</v>
      </c>
      <c r="F79" s="12" t="s">
        <v>29</v>
      </c>
      <c r="G79" s="20" t="s">
        <v>15</v>
      </c>
      <c r="H79" s="19" t="s">
        <v>34</v>
      </c>
      <c r="I79" s="16" t="s">
        <v>3</v>
      </c>
      <c r="J79" s="16" t="s">
        <v>8</v>
      </c>
      <c r="K79" s="16" t="s">
        <v>2</v>
      </c>
      <c r="L79" s="16" t="s">
        <v>8</v>
      </c>
      <c r="M79" s="16" t="s">
        <v>8</v>
      </c>
      <c r="N79" s="16" t="s">
        <v>2</v>
      </c>
      <c r="O79" s="16" t="s">
        <v>8</v>
      </c>
      <c r="P79" s="11" t="s">
        <v>17</v>
      </c>
      <c r="Q79" s="4">
        <v>9.2777777777777786</v>
      </c>
      <c r="R79" s="5" t="s">
        <v>875</v>
      </c>
      <c r="S79" s="5" t="b">
        <f t="shared" si="2"/>
        <v>1</v>
      </c>
    </row>
    <row r="80" spans="1:19" s="5" customFormat="1" ht="42" customHeight="1">
      <c r="A80" s="2">
        <v>78</v>
      </c>
      <c r="B80" s="12">
        <v>2544640154</v>
      </c>
      <c r="C80" s="21">
        <v>250371509117</v>
      </c>
      <c r="D80" s="17">
        <f t="shared" si="3"/>
        <v>250147</v>
      </c>
      <c r="E80" s="22" t="s">
        <v>876</v>
      </c>
      <c r="F80" s="12" t="s">
        <v>29</v>
      </c>
      <c r="G80" s="20" t="s">
        <v>15</v>
      </c>
      <c r="H80" s="19" t="s">
        <v>34</v>
      </c>
      <c r="I80" s="16" t="s">
        <v>4</v>
      </c>
      <c r="J80" s="16" t="s">
        <v>8</v>
      </c>
      <c r="K80" s="16" t="s">
        <v>4</v>
      </c>
      <c r="L80" s="16" t="s">
        <v>2</v>
      </c>
      <c r="M80" s="16" t="s">
        <v>2</v>
      </c>
      <c r="N80" s="16" t="s">
        <v>2</v>
      </c>
      <c r="O80" s="16" t="s">
        <v>8</v>
      </c>
      <c r="P80" s="11" t="s">
        <v>17</v>
      </c>
      <c r="Q80" s="4">
        <v>8.4444444444444446</v>
      </c>
      <c r="R80" s="5" t="s">
        <v>876</v>
      </c>
      <c r="S80" s="5" t="b">
        <f t="shared" si="2"/>
        <v>1</v>
      </c>
    </row>
    <row r="81" spans="1:19" s="5" customFormat="1" ht="42" customHeight="1">
      <c r="A81" s="2">
        <v>79</v>
      </c>
      <c r="B81" s="12">
        <v>2544640049</v>
      </c>
      <c r="C81" s="21">
        <v>250371509118</v>
      </c>
      <c r="D81" s="17">
        <f t="shared" si="3"/>
        <v>250148</v>
      </c>
      <c r="E81" s="22" t="s">
        <v>877</v>
      </c>
      <c r="F81" s="12" t="s">
        <v>29</v>
      </c>
      <c r="G81" s="20" t="s">
        <v>15</v>
      </c>
      <c r="H81" s="19" t="s">
        <v>34</v>
      </c>
      <c r="I81" s="16" t="s">
        <v>4</v>
      </c>
      <c r="J81" s="16" t="s">
        <v>2</v>
      </c>
      <c r="K81" s="16" t="s">
        <v>3</v>
      </c>
      <c r="L81" s="16" t="s">
        <v>2</v>
      </c>
      <c r="M81" s="16" t="s">
        <v>8</v>
      </c>
      <c r="N81" s="16" t="s">
        <v>2</v>
      </c>
      <c r="O81" s="16" t="s">
        <v>8</v>
      </c>
      <c r="P81" s="11" t="s">
        <v>17</v>
      </c>
      <c r="Q81" s="4">
        <v>8.5555555555555554</v>
      </c>
      <c r="R81" s="5" t="s">
        <v>877</v>
      </c>
      <c r="S81" s="5" t="b">
        <f t="shared" si="2"/>
        <v>1</v>
      </c>
    </row>
    <row r="82" spans="1:19" s="5" customFormat="1" ht="42" customHeight="1">
      <c r="A82" s="2">
        <v>80</v>
      </c>
      <c r="B82" s="12">
        <v>2544640408</v>
      </c>
      <c r="C82" s="21">
        <v>250371509119</v>
      </c>
      <c r="D82" s="17">
        <f t="shared" si="3"/>
        <v>250149</v>
      </c>
      <c r="E82" s="22" t="s">
        <v>878</v>
      </c>
      <c r="F82" s="12" t="s">
        <v>29</v>
      </c>
      <c r="G82" s="20" t="s">
        <v>15</v>
      </c>
      <c r="H82" s="19" t="s">
        <v>34</v>
      </c>
      <c r="I82" s="16" t="s">
        <v>4</v>
      </c>
      <c r="J82" s="16" t="s">
        <v>2</v>
      </c>
      <c r="K82" s="16" t="s">
        <v>3</v>
      </c>
      <c r="L82" s="16" t="s">
        <v>4</v>
      </c>
      <c r="M82" s="16" t="s">
        <v>2</v>
      </c>
      <c r="N82" s="16" t="s">
        <v>2</v>
      </c>
      <c r="O82" s="16" t="s">
        <v>8</v>
      </c>
      <c r="P82" s="11" t="s">
        <v>17</v>
      </c>
      <c r="Q82" s="4">
        <v>8.1666666666666661</v>
      </c>
      <c r="R82" s="5" t="s">
        <v>878</v>
      </c>
      <c r="S82" s="5" t="b">
        <f t="shared" si="2"/>
        <v>1</v>
      </c>
    </row>
    <row r="83" spans="1:19" s="5" customFormat="1" ht="42" customHeight="1">
      <c r="A83" s="2">
        <v>81</v>
      </c>
      <c r="B83" s="12">
        <v>2544640120</v>
      </c>
      <c r="C83" s="21">
        <v>250371509120</v>
      </c>
      <c r="D83" s="17">
        <f t="shared" si="3"/>
        <v>250150</v>
      </c>
      <c r="E83" s="22" t="s">
        <v>879</v>
      </c>
      <c r="F83" s="12" t="s">
        <v>29</v>
      </c>
      <c r="G83" s="20" t="s">
        <v>15</v>
      </c>
      <c r="H83" s="19" t="s">
        <v>34</v>
      </c>
      <c r="I83" s="16" t="s">
        <v>4</v>
      </c>
      <c r="J83" s="16" t="s">
        <v>4</v>
      </c>
      <c r="K83" s="16" t="s">
        <v>4</v>
      </c>
      <c r="L83" s="16" t="s">
        <v>2</v>
      </c>
      <c r="M83" s="16" t="s">
        <v>3</v>
      </c>
      <c r="N83" s="16" t="s">
        <v>3</v>
      </c>
      <c r="O83" s="16" t="s">
        <v>3</v>
      </c>
      <c r="P83" s="11" t="s">
        <v>17</v>
      </c>
      <c r="Q83" s="4">
        <v>7.6111111111111107</v>
      </c>
      <c r="R83" s="5" t="s">
        <v>879</v>
      </c>
      <c r="S83" s="5" t="b">
        <f t="shared" si="2"/>
        <v>1</v>
      </c>
    </row>
    <row r="84" spans="1:19" s="5" customFormat="1" ht="42" customHeight="1">
      <c r="A84" s="2">
        <v>82</v>
      </c>
      <c r="B84" s="12">
        <v>2544640350</v>
      </c>
      <c r="C84" s="21">
        <v>250371509122</v>
      </c>
      <c r="D84" s="17">
        <f t="shared" si="3"/>
        <v>250151</v>
      </c>
      <c r="E84" s="22" t="s">
        <v>880</v>
      </c>
      <c r="F84" s="12" t="s">
        <v>29</v>
      </c>
      <c r="G84" s="20" t="s">
        <v>15</v>
      </c>
      <c r="H84" s="19" t="s">
        <v>34</v>
      </c>
      <c r="I84" s="16" t="s">
        <v>2</v>
      </c>
      <c r="J84" s="16" t="s">
        <v>8</v>
      </c>
      <c r="K84" s="16" t="s">
        <v>2</v>
      </c>
      <c r="L84" s="16" t="s">
        <v>2</v>
      </c>
      <c r="M84" s="16" t="s">
        <v>3</v>
      </c>
      <c r="N84" s="16" t="s">
        <v>8</v>
      </c>
      <c r="O84" s="16" t="s">
        <v>8</v>
      </c>
      <c r="P84" s="11" t="s">
        <v>17</v>
      </c>
      <c r="Q84" s="4">
        <v>9.3333333333333339</v>
      </c>
      <c r="R84" s="5" t="s">
        <v>880</v>
      </c>
      <c r="S84" s="5" t="b">
        <f t="shared" si="2"/>
        <v>1</v>
      </c>
    </row>
    <row r="85" spans="1:19" s="5" customFormat="1" ht="42" customHeight="1">
      <c r="A85" s="2">
        <v>83</v>
      </c>
      <c r="B85" s="12">
        <v>2544640841</v>
      </c>
      <c r="C85" s="21">
        <v>250371509124</v>
      </c>
      <c r="D85" s="17">
        <f t="shared" si="3"/>
        <v>250152</v>
      </c>
      <c r="E85" s="22" t="s">
        <v>881</v>
      </c>
      <c r="F85" s="12" t="s">
        <v>29</v>
      </c>
      <c r="G85" s="20" t="s">
        <v>15</v>
      </c>
      <c r="H85" s="19" t="s">
        <v>34</v>
      </c>
      <c r="I85" s="16" t="s">
        <v>4</v>
      </c>
      <c r="J85" s="16" t="s">
        <v>7</v>
      </c>
      <c r="K85" s="16" t="s">
        <v>5</v>
      </c>
      <c r="L85" s="16" t="s">
        <v>3</v>
      </c>
      <c r="M85" s="16" t="s">
        <v>2</v>
      </c>
      <c r="N85" s="16" t="s">
        <v>3</v>
      </c>
      <c r="O85" s="16" t="s">
        <v>2</v>
      </c>
      <c r="P85" s="11" t="s">
        <v>7</v>
      </c>
      <c r="Q85" s="4">
        <v>0</v>
      </c>
      <c r="R85" s="5" t="s">
        <v>881</v>
      </c>
      <c r="S85" s="5" t="b">
        <f t="shared" si="2"/>
        <v>1</v>
      </c>
    </row>
    <row r="86" spans="1:19" s="5" customFormat="1" ht="42" customHeight="1">
      <c r="A86" s="2">
        <v>84</v>
      </c>
      <c r="B86" s="12">
        <v>2544640307</v>
      </c>
      <c r="C86" s="21">
        <v>250371509126</v>
      </c>
      <c r="D86" s="17">
        <f t="shared" si="3"/>
        <v>250153</v>
      </c>
      <c r="E86" s="22" t="s">
        <v>882</v>
      </c>
      <c r="F86" s="12" t="s">
        <v>29</v>
      </c>
      <c r="G86" s="20" t="s">
        <v>15</v>
      </c>
      <c r="H86" s="19" t="s">
        <v>34</v>
      </c>
      <c r="I86" s="16" t="s">
        <v>4</v>
      </c>
      <c r="J86" s="16" t="s">
        <v>6</v>
      </c>
      <c r="K86" s="16" t="s">
        <v>3</v>
      </c>
      <c r="L86" s="16" t="s">
        <v>2</v>
      </c>
      <c r="M86" s="16" t="s">
        <v>4</v>
      </c>
      <c r="N86" s="16" t="s">
        <v>8</v>
      </c>
      <c r="O86" s="16" t="s">
        <v>8</v>
      </c>
      <c r="P86" s="11" t="s">
        <v>17</v>
      </c>
      <c r="Q86" s="4">
        <v>7.89</v>
      </c>
      <c r="R86" s="5" t="s">
        <v>882</v>
      </c>
      <c r="S86" s="5" t="b">
        <f t="shared" si="2"/>
        <v>1</v>
      </c>
    </row>
    <row r="87" spans="1:19" s="5" customFormat="1" ht="42" customHeight="1">
      <c r="A87" s="2">
        <v>85</v>
      </c>
      <c r="B87" s="12">
        <v>2544640652</v>
      </c>
      <c r="C87" s="21">
        <v>250371509127</v>
      </c>
      <c r="D87" s="17">
        <f t="shared" si="3"/>
        <v>250154</v>
      </c>
      <c r="E87" s="22" t="s">
        <v>883</v>
      </c>
      <c r="F87" s="12" t="s">
        <v>29</v>
      </c>
      <c r="G87" s="20" t="s">
        <v>15</v>
      </c>
      <c r="H87" s="19" t="s">
        <v>34</v>
      </c>
      <c r="I87" s="16" t="s">
        <v>4</v>
      </c>
      <c r="J87" s="16" t="s">
        <v>6</v>
      </c>
      <c r="K87" s="16" t="s">
        <v>4</v>
      </c>
      <c r="L87" s="16" t="s">
        <v>7</v>
      </c>
      <c r="M87" s="16" t="s">
        <v>1516</v>
      </c>
      <c r="N87" s="16" t="s">
        <v>7</v>
      </c>
      <c r="O87" s="16" t="s">
        <v>1516</v>
      </c>
      <c r="P87" s="11" t="s">
        <v>1516</v>
      </c>
      <c r="Q87" s="4">
        <v>0</v>
      </c>
      <c r="R87" s="5" t="s">
        <v>883</v>
      </c>
      <c r="S87" s="5" t="b">
        <f t="shared" si="2"/>
        <v>1</v>
      </c>
    </row>
    <row r="88" spans="1:19" s="5" customFormat="1" ht="42" customHeight="1">
      <c r="A88" s="2">
        <v>86</v>
      </c>
      <c r="B88" s="12">
        <v>2544640329</v>
      </c>
      <c r="C88" s="21">
        <v>250371509129</v>
      </c>
      <c r="D88" s="17">
        <f t="shared" si="3"/>
        <v>250155</v>
      </c>
      <c r="E88" s="22" t="s">
        <v>884</v>
      </c>
      <c r="F88" s="12" t="s">
        <v>29</v>
      </c>
      <c r="G88" s="20" t="s">
        <v>15</v>
      </c>
      <c r="H88" s="19" t="s">
        <v>34</v>
      </c>
      <c r="I88" s="16" t="s">
        <v>4</v>
      </c>
      <c r="J88" s="16" t="s">
        <v>3</v>
      </c>
      <c r="K88" s="16" t="s">
        <v>5</v>
      </c>
      <c r="L88" s="16" t="s">
        <v>6</v>
      </c>
      <c r="M88" s="16" t="s">
        <v>8</v>
      </c>
      <c r="N88" s="16" t="s">
        <v>3</v>
      </c>
      <c r="O88" s="16" t="s">
        <v>8</v>
      </c>
      <c r="P88" s="11" t="s">
        <v>17</v>
      </c>
      <c r="Q88" s="4">
        <v>7.1111111111111107</v>
      </c>
      <c r="R88" s="5" t="s">
        <v>884</v>
      </c>
      <c r="S88" s="5" t="b">
        <f t="shared" si="2"/>
        <v>1</v>
      </c>
    </row>
    <row r="89" spans="1:19" s="5" customFormat="1" ht="42" customHeight="1">
      <c r="A89" s="2">
        <v>87</v>
      </c>
      <c r="B89" s="12">
        <v>2544640230</v>
      </c>
      <c r="C89" s="21">
        <v>250371509130</v>
      </c>
      <c r="D89" s="17">
        <f t="shared" si="3"/>
        <v>250156</v>
      </c>
      <c r="E89" s="22" t="s">
        <v>885</v>
      </c>
      <c r="F89" s="12" t="s">
        <v>29</v>
      </c>
      <c r="G89" s="20" t="s">
        <v>15</v>
      </c>
      <c r="H89" s="19" t="s">
        <v>34</v>
      </c>
      <c r="I89" s="16" t="s">
        <v>4</v>
      </c>
      <c r="J89" s="16" t="s">
        <v>1517</v>
      </c>
      <c r="K89" s="16" t="s">
        <v>5</v>
      </c>
      <c r="L89" s="16" t="s">
        <v>7</v>
      </c>
      <c r="M89" s="16" t="s">
        <v>4</v>
      </c>
      <c r="N89" s="16" t="s">
        <v>3</v>
      </c>
      <c r="O89" s="16" t="s">
        <v>2</v>
      </c>
      <c r="P89" s="11" t="s">
        <v>1517</v>
      </c>
      <c r="Q89" s="4">
        <v>0</v>
      </c>
      <c r="R89" s="5" t="s">
        <v>885</v>
      </c>
      <c r="S89" s="5" t="b">
        <f t="shared" si="2"/>
        <v>1</v>
      </c>
    </row>
    <row r="90" spans="1:19" s="5" customFormat="1" ht="42" customHeight="1">
      <c r="A90" s="2">
        <v>88</v>
      </c>
      <c r="B90" s="12">
        <v>2544641069</v>
      </c>
      <c r="C90" s="21">
        <v>250371509133</v>
      </c>
      <c r="D90" s="17">
        <f t="shared" si="3"/>
        <v>250157</v>
      </c>
      <c r="E90" s="22" t="s">
        <v>886</v>
      </c>
      <c r="F90" s="12" t="s">
        <v>29</v>
      </c>
      <c r="G90" s="20" t="s">
        <v>15</v>
      </c>
      <c r="H90" s="19" t="s">
        <v>34</v>
      </c>
      <c r="I90" s="16" t="s">
        <v>3</v>
      </c>
      <c r="J90" s="16" t="s">
        <v>11</v>
      </c>
      <c r="K90" s="16" t="s">
        <v>4</v>
      </c>
      <c r="L90" s="16" t="s">
        <v>3</v>
      </c>
      <c r="M90" s="16" t="s">
        <v>4</v>
      </c>
      <c r="N90" s="16" t="s">
        <v>2</v>
      </c>
      <c r="O90" s="16" t="s">
        <v>2</v>
      </c>
      <c r="P90" s="11" t="s">
        <v>17</v>
      </c>
      <c r="Q90" s="4">
        <v>7.2777777777777777</v>
      </c>
      <c r="R90" s="5" t="s">
        <v>886</v>
      </c>
      <c r="S90" s="5" t="b">
        <f t="shared" si="2"/>
        <v>1</v>
      </c>
    </row>
    <row r="91" spans="1:19" s="5" customFormat="1" ht="42" customHeight="1">
      <c r="A91" s="2">
        <v>89</v>
      </c>
      <c r="B91" s="12">
        <v>2544640728</v>
      </c>
      <c r="C91" s="21">
        <v>250371509134</v>
      </c>
      <c r="D91" s="17">
        <f t="shared" si="3"/>
        <v>250158</v>
      </c>
      <c r="E91" s="22" t="s">
        <v>887</v>
      </c>
      <c r="F91" s="12" t="s">
        <v>29</v>
      </c>
      <c r="G91" s="20" t="s">
        <v>15</v>
      </c>
      <c r="H91" s="19" t="s">
        <v>34</v>
      </c>
      <c r="I91" s="16" t="s">
        <v>4</v>
      </c>
      <c r="J91" s="16" t="s">
        <v>2</v>
      </c>
      <c r="K91" s="16" t="s">
        <v>4</v>
      </c>
      <c r="L91" s="16" t="s">
        <v>4</v>
      </c>
      <c r="M91" s="16" t="s">
        <v>4</v>
      </c>
      <c r="N91" s="16" t="s">
        <v>4</v>
      </c>
      <c r="O91" s="16" t="s">
        <v>8</v>
      </c>
      <c r="P91" s="11" t="s">
        <v>17</v>
      </c>
      <c r="Q91" s="4">
        <v>7.5</v>
      </c>
      <c r="R91" s="5" t="s">
        <v>887</v>
      </c>
      <c r="S91" s="5" t="b">
        <f t="shared" si="2"/>
        <v>1</v>
      </c>
    </row>
    <row r="92" spans="1:19" s="5" customFormat="1" ht="42" customHeight="1">
      <c r="A92" s="2">
        <v>90</v>
      </c>
      <c r="B92" s="12">
        <v>2544640343</v>
      </c>
      <c r="C92" s="21">
        <v>250371509137</v>
      </c>
      <c r="D92" s="17">
        <f t="shared" si="3"/>
        <v>250159</v>
      </c>
      <c r="E92" s="22" t="s">
        <v>888</v>
      </c>
      <c r="F92" s="12" t="s">
        <v>29</v>
      </c>
      <c r="G92" s="20" t="s">
        <v>15</v>
      </c>
      <c r="H92" s="19" t="s">
        <v>34</v>
      </c>
      <c r="I92" s="16" t="s">
        <v>3</v>
      </c>
      <c r="J92" s="16" t="s">
        <v>8</v>
      </c>
      <c r="K92" s="16" t="s">
        <v>2</v>
      </c>
      <c r="L92" s="16" t="s">
        <v>3</v>
      </c>
      <c r="M92" s="16" t="s">
        <v>2</v>
      </c>
      <c r="N92" s="16" t="s">
        <v>8</v>
      </c>
      <c r="O92" s="16" t="s">
        <v>8</v>
      </c>
      <c r="P92" s="11" t="s">
        <v>17</v>
      </c>
      <c r="Q92" s="4">
        <v>9.0555555555555554</v>
      </c>
      <c r="R92" s="5" t="s">
        <v>888</v>
      </c>
      <c r="S92" s="5" t="b">
        <f t="shared" si="2"/>
        <v>1</v>
      </c>
    </row>
    <row r="93" spans="1:19" s="5" customFormat="1" ht="42" customHeight="1">
      <c r="A93" s="2">
        <v>91</v>
      </c>
      <c r="B93" s="12">
        <v>2544640908</v>
      </c>
      <c r="C93" s="21">
        <v>250371509138</v>
      </c>
      <c r="D93" s="17">
        <f t="shared" si="3"/>
        <v>250160</v>
      </c>
      <c r="E93" s="22" t="s">
        <v>889</v>
      </c>
      <c r="F93" s="12" t="s">
        <v>29</v>
      </c>
      <c r="G93" s="20" t="s">
        <v>15</v>
      </c>
      <c r="H93" s="19" t="s">
        <v>34</v>
      </c>
      <c r="I93" s="16" t="s">
        <v>3</v>
      </c>
      <c r="J93" s="16" t="s">
        <v>8</v>
      </c>
      <c r="K93" s="16" t="s">
        <v>3</v>
      </c>
      <c r="L93" s="16" t="s">
        <v>8</v>
      </c>
      <c r="M93" s="16" t="s">
        <v>8</v>
      </c>
      <c r="N93" s="16" t="s">
        <v>2</v>
      </c>
      <c r="O93" s="16" t="s">
        <v>8</v>
      </c>
      <c r="P93" s="11" t="s">
        <v>17</v>
      </c>
      <c r="Q93" s="4">
        <v>9.0555555555555554</v>
      </c>
      <c r="R93" s="5" t="s">
        <v>889</v>
      </c>
      <c r="S93" s="5" t="b">
        <f t="shared" si="2"/>
        <v>1</v>
      </c>
    </row>
    <row r="94" spans="1:19" s="5" customFormat="1" ht="42" customHeight="1">
      <c r="A94" s="2">
        <v>92</v>
      </c>
      <c r="B94" s="12">
        <v>2544640761</v>
      </c>
      <c r="C94" s="21">
        <v>250371509140</v>
      </c>
      <c r="D94" s="17">
        <f t="shared" si="3"/>
        <v>250161</v>
      </c>
      <c r="E94" s="22" t="s">
        <v>890</v>
      </c>
      <c r="F94" s="12" t="s">
        <v>29</v>
      </c>
      <c r="G94" s="20" t="s">
        <v>15</v>
      </c>
      <c r="H94" s="19" t="s">
        <v>34</v>
      </c>
      <c r="I94" s="16" t="s">
        <v>11</v>
      </c>
      <c r="J94" s="16" t="s">
        <v>6</v>
      </c>
      <c r="K94" s="16" t="s">
        <v>5</v>
      </c>
      <c r="L94" s="16" t="s">
        <v>5</v>
      </c>
      <c r="M94" s="16" t="s">
        <v>4</v>
      </c>
      <c r="N94" s="16" t="s">
        <v>4</v>
      </c>
      <c r="O94" s="16" t="s">
        <v>8</v>
      </c>
      <c r="P94" s="11" t="s">
        <v>17</v>
      </c>
      <c r="Q94" s="4">
        <v>5.9444444444444446</v>
      </c>
      <c r="R94" s="5" t="s">
        <v>890</v>
      </c>
      <c r="S94" s="5" t="b">
        <f t="shared" si="2"/>
        <v>1</v>
      </c>
    </row>
    <row r="95" spans="1:19" s="5" customFormat="1" ht="42" customHeight="1">
      <c r="A95" s="2">
        <v>93</v>
      </c>
      <c r="B95" s="12">
        <v>2544640123</v>
      </c>
      <c r="C95" s="21">
        <v>250371509141</v>
      </c>
      <c r="D95" s="17">
        <f t="shared" si="3"/>
        <v>250162</v>
      </c>
      <c r="E95" s="22" t="s">
        <v>891</v>
      </c>
      <c r="F95" s="12" t="s">
        <v>29</v>
      </c>
      <c r="G95" s="20" t="s">
        <v>15</v>
      </c>
      <c r="H95" s="19" t="s">
        <v>34</v>
      </c>
      <c r="I95" s="16" t="s">
        <v>3</v>
      </c>
      <c r="J95" s="16" t="s">
        <v>4</v>
      </c>
      <c r="K95" s="16" t="s">
        <v>3</v>
      </c>
      <c r="L95" s="16" t="s">
        <v>3</v>
      </c>
      <c r="M95" s="16" t="s">
        <v>2</v>
      </c>
      <c r="N95" s="16" t="s">
        <v>4</v>
      </c>
      <c r="O95" s="16" t="s">
        <v>8</v>
      </c>
      <c r="P95" s="11" t="s">
        <v>17</v>
      </c>
      <c r="Q95" s="4">
        <v>7.833333333333333</v>
      </c>
      <c r="R95" s="5" t="s">
        <v>891</v>
      </c>
      <c r="S95" s="5" t="b">
        <f t="shared" si="2"/>
        <v>1</v>
      </c>
    </row>
    <row r="96" spans="1:19" s="5" customFormat="1" ht="42" customHeight="1">
      <c r="A96" s="2">
        <v>94</v>
      </c>
      <c r="B96" s="12">
        <v>2544640235</v>
      </c>
      <c r="C96" s="21">
        <v>250371509142</v>
      </c>
      <c r="D96" s="17">
        <f t="shared" si="3"/>
        <v>250163</v>
      </c>
      <c r="E96" s="22" t="s">
        <v>892</v>
      </c>
      <c r="F96" s="12" t="s">
        <v>29</v>
      </c>
      <c r="G96" s="20" t="s">
        <v>15</v>
      </c>
      <c r="H96" s="19" t="s">
        <v>34</v>
      </c>
      <c r="I96" s="16" t="s">
        <v>3</v>
      </c>
      <c r="J96" s="16" t="s">
        <v>8</v>
      </c>
      <c r="K96" s="16" t="s">
        <v>3</v>
      </c>
      <c r="L96" s="16" t="s">
        <v>2</v>
      </c>
      <c r="M96" s="16" t="s">
        <v>2</v>
      </c>
      <c r="N96" s="16" t="s">
        <v>3</v>
      </c>
      <c r="O96" s="16" t="s">
        <v>8</v>
      </c>
      <c r="P96" s="11" t="s">
        <v>17</v>
      </c>
      <c r="Q96" s="4">
        <v>8.6666666666666661</v>
      </c>
      <c r="R96" s="5" t="s">
        <v>892</v>
      </c>
      <c r="S96" s="5" t="b">
        <f t="shared" si="2"/>
        <v>1</v>
      </c>
    </row>
    <row r="97" spans="1:19" s="5" customFormat="1" ht="42" customHeight="1">
      <c r="A97" s="2">
        <v>95</v>
      </c>
      <c r="B97" s="12">
        <v>2544641112</v>
      </c>
      <c r="C97" s="21">
        <v>250371509146</v>
      </c>
      <c r="D97" s="17">
        <f t="shared" si="3"/>
        <v>250164</v>
      </c>
      <c r="E97" s="22" t="s">
        <v>893</v>
      </c>
      <c r="F97" s="12" t="s">
        <v>29</v>
      </c>
      <c r="G97" s="20" t="s">
        <v>15</v>
      </c>
      <c r="H97" s="19" t="s">
        <v>34</v>
      </c>
      <c r="I97" s="16" t="s">
        <v>4</v>
      </c>
      <c r="J97" s="16" t="s">
        <v>4</v>
      </c>
      <c r="K97" s="16" t="s">
        <v>5</v>
      </c>
      <c r="L97" s="16" t="s">
        <v>4</v>
      </c>
      <c r="M97" s="16" t="s">
        <v>6</v>
      </c>
      <c r="N97" s="16" t="s">
        <v>4</v>
      </c>
      <c r="O97" s="16" t="s">
        <v>3</v>
      </c>
      <c r="P97" s="11" t="s">
        <v>17</v>
      </c>
      <c r="Q97" s="4">
        <v>6.7222222222222223</v>
      </c>
      <c r="R97" s="5" t="s">
        <v>893</v>
      </c>
      <c r="S97" s="5" t="b">
        <f t="shared" si="2"/>
        <v>1</v>
      </c>
    </row>
    <row r="98" spans="1:19" s="5" customFormat="1" ht="42" customHeight="1">
      <c r="A98" s="2">
        <v>96</v>
      </c>
      <c r="B98" s="12">
        <v>2544640496</v>
      </c>
      <c r="C98" s="21">
        <v>250371509147</v>
      </c>
      <c r="D98" s="17">
        <f t="shared" si="3"/>
        <v>250165</v>
      </c>
      <c r="E98" s="22" t="s">
        <v>894</v>
      </c>
      <c r="F98" s="12" t="s">
        <v>29</v>
      </c>
      <c r="G98" s="20" t="s">
        <v>15</v>
      </c>
      <c r="H98" s="19" t="s">
        <v>34</v>
      </c>
      <c r="I98" s="16" t="s">
        <v>3</v>
      </c>
      <c r="J98" s="16" t="s">
        <v>3</v>
      </c>
      <c r="K98" s="16" t="s">
        <v>4</v>
      </c>
      <c r="L98" s="16" t="s">
        <v>2</v>
      </c>
      <c r="M98" s="16" t="s">
        <v>2</v>
      </c>
      <c r="N98" s="16" t="s">
        <v>2</v>
      </c>
      <c r="O98" s="16" t="s">
        <v>2</v>
      </c>
      <c r="P98" s="11" t="s">
        <v>17</v>
      </c>
      <c r="Q98" s="4">
        <v>8.2222222222222214</v>
      </c>
      <c r="R98" s="5" t="s">
        <v>894</v>
      </c>
      <c r="S98" s="5" t="b">
        <f t="shared" si="2"/>
        <v>1</v>
      </c>
    </row>
    <row r="99" spans="1:19" s="5" customFormat="1" ht="42" customHeight="1">
      <c r="A99" s="2">
        <v>97</v>
      </c>
      <c r="B99" s="12">
        <v>2544640608</v>
      </c>
      <c r="C99" s="21">
        <v>250371509148</v>
      </c>
      <c r="D99" s="17">
        <f t="shared" si="3"/>
        <v>250166</v>
      </c>
      <c r="E99" s="22" t="s">
        <v>895</v>
      </c>
      <c r="F99" s="12" t="s">
        <v>29</v>
      </c>
      <c r="G99" s="20" t="s">
        <v>15</v>
      </c>
      <c r="H99" s="19" t="s">
        <v>34</v>
      </c>
      <c r="I99" s="16" t="s">
        <v>4</v>
      </c>
      <c r="J99" s="16" t="s">
        <v>8</v>
      </c>
      <c r="K99" s="16" t="s">
        <v>2</v>
      </c>
      <c r="L99" s="16" t="s">
        <v>2</v>
      </c>
      <c r="M99" s="16" t="s">
        <v>8</v>
      </c>
      <c r="N99" s="16" t="s">
        <v>8</v>
      </c>
      <c r="O99" s="16" t="s">
        <v>8</v>
      </c>
      <c r="P99" s="11" t="s">
        <v>17</v>
      </c>
      <c r="Q99" s="4">
        <v>9.1111111111111107</v>
      </c>
      <c r="R99" s="5" t="s">
        <v>895</v>
      </c>
      <c r="S99" s="5" t="b">
        <f t="shared" si="2"/>
        <v>1</v>
      </c>
    </row>
    <row r="100" spans="1:19" s="5" customFormat="1" ht="42" customHeight="1">
      <c r="A100" s="2">
        <v>98</v>
      </c>
      <c r="B100" s="12">
        <v>2544640594</v>
      </c>
      <c r="C100" s="21">
        <v>250371509149</v>
      </c>
      <c r="D100" s="17">
        <f t="shared" si="3"/>
        <v>250167</v>
      </c>
      <c r="E100" s="22" t="s">
        <v>896</v>
      </c>
      <c r="F100" s="12" t="s">
        <v>29</v>
      </c>
      <c r="G100" s="20" t="s">
        <v>15</v>
      </c>
      <c r="H100" s="19" t="s">
        <v>34</v>
      </c>
      <c r="I100" s="16" t="s">
        <v>4</v>
      </c>
      <c r="J100" s="16" t="s">
        <v>3</v>
      </c>
      <c r="K100" s="16" t="s">
        <v>5</v>
      </c>
      <c r="L100" s="16" t="s">
        <v>5</v>
      </c>
      <c r="M100" s="16" t="s">
        <v>8</v>
      </c>
      <c r="N100" s="16" t="s">
        <v>3</v>
      </c>
      <c r="O100" s="16" t="s">
        <v>2</v>
      </c>
      <c r="P100" s="11" t="s">
        <v>17</v>
      </c>
      <c r="Q100" s="4">
        <v>7.2222222222222223</v>
      </c>
      <c r="R100" s="5" t="s">
        <v>896</v>
      </c>
      <c r="S100" s="5" t="b">
        <f t="shared" si="2"/>
        <v>1</v>
      </c>
    </row>
    <row r="101" spans="1:19" s="5" customFormat="1" ht="42" customHeight="1">
      <c r="A101" s="2">
        <v>99</v>
      </c>
      <c r="B101" s="12">
        <v>2544640085</v>
      </c>
      <c r="C101" s="21">
        <v>250371509150</v>
      </c>
      <c r="D101" s="17">
        <f t="shared" si="3"/>
        <v>250168</v>
      </c>
      <c r="E101" s="22" t="s">
        <v>897</v>
      </c>
      <c r="F101" s="12" t="s">
        <v>29</v>
      </c>
      <c r="G101" s="20" t="s">
        <v>15</v>
      </c>
      <c r="H101" s="19" t="s">
        <v>34</v>
      </c>
      <c r="I101" s="16" t="s">
        <v>3</v>
      </c>
      <c r="J101" s="16" t="s">
        <v>2</v>
      </c>
      <c r="K101" s="16" t="s">
        <v>3</v>
      </c>
      <c r="L101" s="16" t="s">
        <v>3</v>
      </c>
      <c r="M101" s="16" t="s">
        <v>2</v>
      </c>
      <c r="N101" s="16" t="s">
        <v>2</v>
      </c>
      <c r="O101" s="16" t="s">
        <v>8</v>
      </c>
      <c r="P101" s="11" t="s">
        <v>17</v>
      </c>
      <c r="Q101" s="4">
        <v>8.5</v>
      </c>
      <c r="R101" s="5" t="s">
        <v>897</v>
      </c>
      <c r="S101" s="5" t="b">
        <f t="shared" si="2"/>
        <v>1</v>
      </c>
    </row>
    <row r="102" spans="1:19" s="5" customFormat="1" ht="42" customHeight="1">
      <c r="A102" s="2">
        <v>100</v>
      </c>
      <c r="B102" s="12">
        <v>2544640783</v>
      </c>
      <c r="C102" s="21">
        <v>250371509151</v>
      </c>
      <c r="D102" s="17">
        <f t="shared" si="3"/>
        <v>250169</v>
      </c>
      <c r="E102" s="22" t="s">
        <v>898</v>
      </c>
      <c r="F102" s="12" t="s">
        <v>29</v>
      </c>
      <c r="G102" s="20" t="s">
        <v>15</v>
      </c>
      <c r="H102" s="19" t="s">
        <v>34</v>
      </c>
      <c r="I102" s="16" t="s">
        <v>4</v>
      </c>
      <c r="J102" s="16" t="s">
        <v>2</v>
      </c>
      <c r="K102" s="16" t="s">
        <v>3</v>
      </c>
      <c r="L102" s="16" t="s">
        <v>3</v>
      </c>
      <c r="M102" s="16" t="s">
        <v>3</v>
      </c>
      <c r="N102" s="16" t="s">
        <v>2</v>
      </c>
      <c r="O102" s="16" t="s">
        <v>8</v>
      </c>
      <c r="P102" s="11" t="s">
        <v>17</v>
      </c>
      <c r="Q102" s="4">
        <v>8.2777777777777786</v>
      </c>
      <c r="R102" s="5" t="s">
        <v>898</v>
      </c>
      <c r="S102" s="5" t="b">
        <f t="shared" si="2"/>
        <v>1</v>
      </c>
    </row>
    <row r="103" spans="1:19" s="5" customFormat="1" ht="42" customHeight="1">
      <c r="A103" s="2">
        <v>101</v>
      </c>
      <c r="B103" s="12">
        <v>2544641070</v>
      </c>
      <c r="C103" s="21">
        <v>250371509152</v>
      </c>
      <c r="D103" s="17">
        <f t="shared" si="3"/>
        <v>250170</v>
      </c>
      <c r="E103" s="22" t="s">
        <v>899</v>
      </c>
      <c r="F103" s="12" t="s">
        <v>29</v>
      </c>
      <c r="G103" s="20" t="s">
        <v>15</v>
      </c>
      <c r="H103" s="19" t="s">
        <v>34</v>
      </c>
      <c r="I103" s="16" t="s">
        <v>4</v>
      </c>
      <c r="J103" s="16" t="s">
        <v>3</v>
      </c>
      <c r="K103" s="16" t="s">
        <v>3</v>
      </c>
      <c r="L103" s="16" t="s">
        <v>2</v>
      </c>
      <c r="M103" s="16" t="s">
        <v>4</v>
      </c>
      <c r="N103" s="16" t="s">
        <v>2</v>
      </c>
      <c r="O103" s="16" t="s">
        <v>8</v>
      </c>
      <c r="P103" s="11" t="s">
        <v>17</v>
      </c>
      <c r="Q103" s="4">
        <v>8.2222222222222214</v>
      </c>
      <c r="R103" s="5" t="s">
        <v>899</v>
      </c>
      <c r="S103" s="5" t="b">
        <f t="shared" si="2"/>
        <v>1</v>
      </c>
    </row>
    <row r="104" spans="1:19" s="5" customFormat="1" ht="42" customHeight="1">
      <c r="A104" s="2">
        <v>102</v>
      </c>
      <c r="B104" s="12">
        <v>2544640369</v>
      </c>
      <c r="C104" s="21">
        <v>250371509153</v>
      </c>
      <c r="D104" s="17">
        <f t="shared" si="3"/>
        <v>250171</v>
      </c>
      <c r="E104" s="22" t="s">
        <v>900</v>
      </c>
      <c r="F104" s="12" t="s">
        <v>29</v>
      </c>
      <c r="G104" s="20" t="s">
        <v>15</v>
      </c>
      <c r="H104" s="19" t="s">
        <v>34</v>
      </c>
      <c r="I104" s="16" t="s">
        <v>3</v>
      </c>
      <c r="J104" s="16" t="s">
        <v>8</v>
      </c>
      <c r="K104" s="16" t="s">
        <v>3</v>
      </c>
      <c r="L104" s="16" t="s">
        <v>2</v>
      </c>
      <c r="M104" s="16" t="s">
        <v>3</v>
      </c>
      <c r="N104" s="16" t="s">
        <v>8</v>
      </c>
      <c r="O104" s="16" t="s">
        <v>8</v>
      </c>
      <c r="P104" s="11" t="s">
        <v>17</v>
      </c>
      <c r="Q104" s="4">
        <v>8.9444444444444446</v>
      </c>
      <c r="R104" s="5" t="s">
        <v>900</v>
      </c>
      <c r="S104" s="5" t="b">
        <f t="shared" si="2"/>
        <v>1</v>
      </c>
    </row>
    <row r="105" spans="1:19" s="5" customFormat="1" ht="42" customHeight="1">
      <c r="A105" s="2">
        <v>103</v>
      </c>
      <c r="B105" s="12">
        <v>2544640001</v>
      </c>
      <c r="C105" s="21">
        <v>250371509154</v>
      </c>
      <c r="D105" s="17">
        <f t="shared" si="3"/>
        <v>250172</v>
      </c>
      <c r="E105" s="22" t="s">
        <v>901</v>
      </c>
      <c r="F105" s="12" t="s">
        <v>29</v>
      </c>
      <c r="G105" s="20" t="s">
        <v>15</v>
      </c>
      <c r="H105" s="19" t="s">
        <v>34</v>
      </c>
      <c r="I105" s="16" t="s">
        <v>5</v>
      </c>
      <c r="J105" s="16" t="s">
        <v>2</v>
      </c>
      <c r="K105" s="16" t="s">
        <v>3</v>
      </c>
      <c r="L105" s="16" t="s">
        <v>2</v>
      </c>
      <c r="M105" s="16" t="s">
        <v>8</v>
      </c>
      <c r="N105" s="16" t="s">
        <v>8</v>
      </c>
      <c r="O105" s="16" t="s">
        <v>8</v>
      </c>
      <c r="P105" s="11" t="s">
        <v>17</v>
      </c>
      <c r="Q105" s="4">
        <v>8.5555555555555554</v>
      </c>
      <c r="R105" s="5" t="s">
        <v>901</v>
      </c>
      <c r="S105" s="5" t="b">
        <f t="shared" si="2"/>
        <v>1</v>
      </c>
    </row>
    <row r="106" spans="1:19" s="5" customFormat="1" ht="42" customHeight="1">
      <c r="A106" s="2">
        <v>104</v>
      </c>
      <c r="B106" s="12">
        <v>2544640013</v>
      </c>
      <c r="C106" s="21">
        <v>250371509155</v>
      </c>
      <c r="D106" s="17">
        <f t="shared" si="3"/>
        <v>250173</v>
      </c>
      <c r="E106" s="22" t="s">
        <v>902</v>
      </c>
      <c r="F106" s="12" t="s">
        <v>29</v>
      </c>
      <c r="G106" s="20" t="s">
        <v>15</v>
      </c>
      <c r="H106" s="19" t="s">
        <v>34</v>
      </c>
      <c r="I106" s="16" t="s">
        <v>4</v>
      </c>
      <c r="J106" s="16" t="s">
        <v>8</v>
      </c>
      <c r="K106" s="16" t="s">
        <v>3</v>
      </c>
      <c r="L106" s="16" t="s">
        <v>2</v>
      </c>
      <c r="M106" s="16" t="s">
        <v>3</v>
      </c>
      <c r="N106" s="16" t="s">
        <v>2</v>
      </c>
      <c r="O106" s="16" t="s">
        <v>2</v>
      </c>
      <c r="P106" s="11" t="s">
        <v>17</v>
      </c>
      <c r="Q106" s="4">
        <v>8.5555555555555554</v>
      </c>
      <c r="R106" s="5" t="s">
        <v>902</v>
      </c>
      <c r="S106" s="5" t="b">
        <f t="shared" si="2"/>
        <v>1</v>
      </c>
    </row>
    <row r="107" spans="1:19" s="5" customFormat="1" ht="42" customHeight="1">
      <c r="A107" s="2">
        <v>105</v>
      </c>
      <c r="B107" s="12">
        <v>2544640892</v>
      </c>
      <c r="C107" s="21">
        <v>250371509156</v>
      </c>
      <c r="D107" s="17">
        <f t="shared" si="3"/>
        <v>250174</v>
      </c>
      <c r="E107" s="22" t="s">
        <v>903</v>
      </c>
      <c r="F107" s="12" t="s">
        <v>29</v>
      </c>
      <c r="G107" s="20" t="s">
        <v>15</v>
      </c>
      <c r="H107" s="19" t="s">
        <v>34</v>
      </c>
      <c r="I107" s="16" t="s">
        <v>4</v>
      </c>
      <c r="J107" s="16" t="s">
        <v>3</v>
      </c>
      <c r="K107" s="16" t="s">
        <v>4</v>
      </c>
      <c r="L107" s="16" t="s">
        <v>2</v>
      </c>
      <c r="M107" s="16" t="s">
        <v>8</v>
      </c>
      <c r="N107" s="16" t="s">
        <v>5</v>
      </c>
      <c r="O107" s="16" t="s">
        <v>2</v>
      </c>
      <c r="P107" s="11" t="s">
        <v>17</v>
      </c>
      <c r="Q107" s="4">
        <v>7.6111111111111107</v>
      </c>
      <c r="R107" s="5" t="s">
        <v>903</v>
      </c>
      <c r="S107" s="5" t="b">
        <f t="shared" si="2"/>
        <v>1</v>
      </c>
    </row>
    <row r="108" spans="1:19" s="5" customFormat="1" ht="42" customHeight="1">
      <c r="A108" s="2">
        <v>106</v>
      </c>
      <c r="B108" s="12">
        <v>2544640833</v>
      </c>
      <c r="C108" s="21">
        <v>250371509158</v>
      </c>
      <c r="D108" s="17">
        <f t="shared" si="3"/>
        <v>250175</v>
      </c>
      <c r="E108" s="22" t="s">
        <v>904</v>
      </c>
      <c r="F108" s="12" t="s">
        <v>29</v>
      </c>
      <c r="G108" s="20" t="s">
        <v>15</v>
      </c>
      <c r="H108" s="19" t="s">
        <v>34</v>
      </c>
      <c r="I108" s="16" t="s">
        <v>4</v>
      </c>
      <c r="J108" s="16" t="s">
        <v>2</v>
      </c>
      <c r="K108" s="16" t="s">
        <v>3</v>
      </c>
      <c r="L108" s="16" t="s">
        <v>2</v>
      </c>
      <c r="M108" s="16" t="s">
        <v>4</v>
      </c>
      <c r="N108" s="16" t="s">
        <v>2</v>
      </c>
      <c r="O108" s="16" t="s">
        <v>8</v>
      </c>
      <c r="P108" s="11" t="s">
        <v>17</v>
      </c>
      <c r="Q108" s="4">
        <v>8.3888888888888893</v>
      </c>
      <c r="R108" s="5" t="s">
        <v>904</v>
      </c>
      <c r="S108" s="5" t="b">
        <f t="shared" si="2"/>
        <v>1</v>
      </c>
    </row>
    <row r="109" spans="1:19" s="5" customFormat="1" ht="42" customHeight="1">
      <c r="A109" s="2">
        <v>107</v>
      </c>
      <c r="B109" s="12">
        <v>2544640039</v>
      </c>
      <c r="C109" s="21">
        <v>250371509159</v>
      </c>
      <c r="D109" s="17">
        <f t="shared" si="3"/>
        <v>250176</v>
      </c>
      <c r="E109" s="22" t="s">
        <v>905</v>
      </c>
      <c r="F109" s="12" t="s">
        <v>29</v>
      </c>
      <c r="G109" s="20" t="s">
        <v>15</v>
      </c>
      <c r="H109" s="19" t="s">
        <v>34</v>
      </c>
      <c r="I109" s="16" t="s">
        <v>4</v>
      </c>
      <c r="J109" s="16" t="s">
        <v>8</v>
      </c>
      <c r="K109" s="16" t="s">
        <v>3</v>
      </c>
      <c r="L109" s="16" t="s">
        <v>2</v>
      </c>
      <c r="M109" s="16" t="s">
        <v>8</v>
      </c>
      <c r="N109" s="16" t="s">
        <v>3</v>
      </c>
      <c r="O109" s="16" t="s">
        <v>2</v>
      </c>
      <c r="P109" s="11" t="s">
        <v>17</v>
      </c>
      <c r="Q109" s="4">
        <v>8.5</v>
      </c>
      <c r="R109" s="5" t="s">
        <v>905</v>
      </c>
      <c r="S109" s="5" t="b">
        <f t="shared" si="2"/>
        <v>1</v>
      </c>
    </row>
    <row r="110" spans="1:19" s="5" customFormat="1" ht="42" customHeight="1">
      <c r="A110" s="2">
        <v>108</v>
      </c>
      <c r="B110" s="12">
        <v>2544640579</v>
      </c>
      <c r="C110" s="21">
        <v>250371509160</v>
      </c>
      <c r="D110" s="17">
        <f t="shared" si="3"/>
        <v>250177</v>
      </c>
      <c r="E110" s="22" t="s">
        <v>906</v>
      </c>
      <c r="F110" s="12" t="s">
        <v>29</v>
      </c>
      <c r="G110" s="20" t="s">
        <v>15</v>
      </c>
      <c r="H110" s="19" t="s">
        <v>34</v>
      </c>
      <c r="I110" s="16" t="s">
        <v>1516</v>
      </c>
      <c r="J110" s="16" t="s">
        <v>1516</v>
      </c>
      <c r="K110" s="16" t="s">
        <v>1516</v>
      </c>
      <c r="L110" s="16" t="s">
        <v>1516</v>
      </c>
      <c r="M110" s="16" t="s">
        <v>1516</v>
      </c>
      <c r="N110" s="16" t="s">
        <v>1516</v>
      </c>
      <c r="O110" s="16" t="s">
        <v>1516</v>
      </c>
      <c r="P110" s="11" t="s">
        <v>1516</v>
      </c>
      <c r="Q110" s="4">
        <v>0</v>
      </c>
      <c r="R110" s="5" t="s">
        <v>906</v>
      </c>
      <c r="S110" s="5" t="b">
        <f t="shared" si="2"/>
        <v>1</v>
      </c>
    </row>
    <row r="111" spans="1:19" s="5" customFormat="1" ht="42" customHeight="1">
      <c r="A111" s="2">
        <v>109</v>
      </c>
      <c r="B111" s="12">
        <v>2544640165</v>
      </c>
      <c r="C111" s="21">
        <v>250371509161</v>
      </c>
      <c r="D111" s="17">
        <f t="shared" si="3"/>
        <v>250178</v>
      </c>
      <c r="E111" s="22" t="s">
        <v>907</v>
      </c>
      <c r="F111" s="12" t="s">
        <v>29</v>
      </c>
      <c r="G111" s="20" t="s">
        <v>15</v>
      </c>
      <c r="H111" s="19" t="s">
        <v>34</v>
      </c>
      <c r="I111" s="16" t="s">
        <v>4</v>
      </c>
      <c r="J111" s="16" t="s">
        <v>8</v>
      </c>
      <c r="K111" s="16" t="s">
        <v>3</v>
      </c>
      <c r="L111" s="16" t="s">
        <v>2</v>
      </c>
      <c r="M111" s="16" t="s">
        <v>8</v>
      </c>
      <c r="N111" s="16" t="s">
        <v>2</v>
      </c>
      <c r="O111" s="16" t="s">
        <v>2</v>
      </c>
      <c r="P111" s="11" t="s">
        <v>17</v>
      </c>
      <c r="Q111" s="4">
        <v>8.6666666666666661</v>
      </c>
      <c r="R111" s="5" t="s">
        <v>907</v>
      </c>
      <c r="S111" s="5" t="b">
        <f t="shared" si="2"/>
        <v>1</v>
      </c>
    </row>
    <row r="112" spans="1:19" s="5" customFormat="1" ht="42" customHeight="1">
      <c r="A112" s="2">
        <v>110</v>
      </c>
      <c r="B112" s="12">
        <v>2544640621</v>
      </c>
      <c r="C112" s="21">
        <v>250371509162</v>
      </c>
      <c r="D112" s="17">
        <f t="shared" si="3"/>
        <v>250179</v>
      </c>
      <c r="E112" s="22" t="s">
        <v>908</v>
      </c>
      <c r="F112" s="12" t="s">
        <v>29</v>
      </c>
      <c r="G112" s="20" t="s">
        <v>15</v>
      </c>
      <c r="H112" s="19" t="s">
        <v>34</v>
      </c>
      <c r="I112" s="16" t="s">
        <v>3</v>
      </c>
      <c r="J112" s="16" t="s">
        <v>8</v>
      </c>
      <c r="K112" s="16" t="s">
        <v>2</v>
      </c>
      <c r="L112" s="16" t="s">
        <v>8</v>
      </c>
      <c r="M112" s="16" t="s">
        <v>8</v>
      </c>
      <c r="N112" s="16" t="s">
        <v>8</v>
      </c>
      <c r="O112" s="16" t="s">
        <v>8</v>
      </c>
      <c r="P112" s="11" t="s">
        <v>17</v>
      </c>
      <c r="Q112" s="4">
        <v>9.4444444444444446</v>
      </c>
      <c r="R112" s="5" t="s">
        <v>908</v>
      </c>
      <c r="S112" s="5" t="b">
        <f t="shared" si="2"/>
        <v>1</v>
      </c>
    </row>
    <row r="113" spans="1:19" s="5" customFormat="1" ht="42" customHeight="1">
      <c r="A113" s="2">
        <v>111</v>
      </c>
      <c r="B113" s="12">
        <v>2544640848</v>
      </c>
      <c r="C113" s="21">
        <v>250371509163</v>
      </c>
      <c r="D113" s="17">
        <f t="shared" si="3"/>
        <v>250180</v>
      </c>
      <c r="E113" s="22" t="s">
        <v>909</v>
      </c>
      <c r="F113" s="12" t="s">
        <v>29</v>
      </c>
      <c r="G113" s="20" t="s">
        <v>15</v>
      </c>
      <c r="H113" s="19" t="s">
        <v>34</v>
      </c>
      <c r="I113" s="16" t="s">
        <v>4</v>
      </c>
      <c r="J113" s="16" t="s">
        <v>8</v>
      </c>
      <c r="K113" s="16" t="s">
        <v>3</v>
      </c>
      <c r="L113" s="16" t="s">
        <v>2</v>
      </c>
      <c r="M113" s="16" t="s">
        <v>8</v>
      </c>
      <c r="N113" s="16" t="s">
        <v>8</v>
      </c>
      <c r="O113" s="16" t="s">
        <v>8</v>
      </c>
      <c r="P113" s="11" t="s">
        <v>17</v>
      </c>
      <c r="Q113" s="4">
        <v>8.8888888888888893</v>
      </c>
      <c r="R113" s="5" t="s">
        <v>909</v>
      </c>
      <c r="S113" s="5" t="b">
        <f t="shared" si="2"/>
        <v>1</v>
      </c>
    </row>
    <row r="114" spans="1:19" s="5" customFormat="1" ht="42" customHeight="1">
      <c r="A114" s="2">
        <v>112</v>
      </c>
      <c r="B114" s="12">
        <v>2544640581</v>
      </c>
      <c r="C114" s="21">
        <v>250371509164</v>
      </c>
      <c r="D114" s="17">
        <f t="shared" si="3"/>
        <v>250181</v>
      </c>
      <c r="E114" s="22" t="s">
        <v>910</v>
      </c>
      <c r="F114" s="12" t="s">
        <v>29</v>
      </c>
      <c r="G114" s="20" t="s">
        <v>15</v>
      </c>
      <c r="H114" s="19" t="s">
        <v>34</v>
      </c>
      <c r="I114" s="16" t="s">
        <v>4</v>
      </c>
      <c r="J114" s="16" t="s">
        <v>2</v>
      </c>
      <c r="K114" s="16" t="s">
        <v>3</v>
      </c>
      <c r="L114" s="16" t="s">
        <v>3</v>
      </c>
      <c r="M114" s="16" t="s">
        <v>3</v>
      </c>
      <c r="N114" s="16" t="s">
        <v>5</v>
      </c>
      <c r="O114" s="16" t="s">
        <v>8</v>
      </c>
      <c r="P114" s="11" t="s">
        <v>17</v>
      </c>
      <c r="Q114" s="4">
        <v>7.7777777777777777</v>
      </c>
      <c r="R114" s="5" t="s">
        <v>910</v>
      </c>
      <c r="S114" s="5" t="b">
        <f t="shared" si="2"/>
        <v>1</v>
      </c>
    </row>
    <row r="115" spans="1:19" s="5" customFormat="1" ht="42" customHeight="1">
      <c r="A115" s="2">
        <v>113</v>
      </c>
      <c r="B115" s="12">
        <v>2544640782</v>
      </c>
      <c r="C115" s="21">
        <v>250371509165</v>
      </c>
      <c r="D115" s="17">
        <f t="shared" si="3"/>
        <v>250182</v>
      </c>
      <c r="E115" s="22" t="s">
        <v>911</v>
      </c>
      <c r="F115" s="12" t="s">
        <v>29</v>
      </c>
      <c r="G115" s="20" t="s">
        <v>15</v>
      </c>
      <c r="H115" s="19" t="s">
        <v>34</v>
      </c>
      <c r="I115" s="16" t="s">
        <v>4</v>
      </c>
      <c r="J115" s="16" t="s">
        <v>2</v>
      </c>
      <c r="K115" s="16" t="s">
        <v>3</v>
      </c>
      <c r="L115" s="16" t="s">
        <v>4</v>
      </c>
      <c r="M115" s="16" t="s">
        <v>3</v>
      </c>
      <c r="N115" s="16" t="s">
        <v>2</v>
      </c>
      <c r="O115" s="16" t="s">
        <v>8</v>
      </c>
      <c r="P115" s="11" t="s">
        <v>17</v>
      </c>
      <c r="Q115" s="4">
        <v>8.1111111111111107</v>
      </c>
      <c r="R115" s="5" t="s">
        <v>911</v>
      </c>
      <c r="S115" s="5" t="b">
        <f t="shared" si="2"/>
        <v>1</v>
      </c>
    </row>
    <row r="116" spans="1:19" s="5" customFormat="1" ht="42" customHeight="1">
      <c r="A116" s="2">
        <v>114</v>
      </c>
      <c r="B116" s="12">
        <v>2544640999</v>
      </c>
      <c r="C116" s="21">
        <v>250371509167</v>
      </c>
      <c r="D116" s="17">
        <f t="shared" si="3"/>
        <v>250183</v>
      </c>
      <c r="E116" s="22" t="s">
        <v>912</v>
      </c>
      <c r="F116" s="12" t="s">
        <v>29</v>
      </c>
      <c r="G116" s="20" t="s">
        <v>15</v>
      </c>
      <c r="H116" s="19" t="s">
        <v>34</v>
      </c>
      <c r="I116" s="16" t="s">
        <v>3</v>
      </c>
      <c r="J116" s="16" t="s">
        <v>8</v>
      </c>
      <c r="K116" s="16" t="s">
        <v>3</v>
      </c>
      <c r="L116" s="16" t="s">
        <v>2</v>
      </c>
      <c r="M116" s="16" t="s">
        <v>8</v>
      </c>
      <c r="N116" s="16" t="s">
        <v>8</v>
      </c>
      <c r="O116" s="16" t="s">
        <v>8</v>
      </c>
      <c r="P116" s="11" t="s">
        <v>17</v>
      </c>
      <c r="Q116" s="4">
        <v>9.0555555555555554</v>
      </c>
      <c r="R116" s="5" t="s">
        <v>912</v>
      </c>
      <c r="S116" s="5" t="b">
        <f t="shared" si="2"/>
        <v>1</v>
      </c>
    </row>
    <row r="117" spans="1:19" s="5" customFormat="1" ht="42" customHeight="1">
      <c r="A117" s="2">
        <v>115</v>
      </c>
      <c r="B117" s="12">
        <v>2544640079</v>
      </c>
      <c r="C117" s="21">
        <v>250371509170</v>
      </c>
      <c r="D117" s="17">
        <f t="shared" si="3"/>
        <v>250184</v>
      </c>
      <c r="E117" s="22" t="s">
        <v>913</v>
      </c>
      <c r="F117" s="12" t="s">
        <v>29</v>
      </c>
      <c r="G117" s="20" t="s">
        <v>15</v>
      </c>
      <c r="H117" s="19" t="s">
        <v>34</v>
      </c>
      <c r="I117" s="16" t="s">
        <v>11</v>
      </c>
      <c r="J117" s="16" t="s">
        <v>8</v>
      </c>
      <c r="K117" s="16" t="s">
        <v>3</v>
      </c>
      <c r="L117" s="16" t="s">
        <v>4</v>
      </c>
      <c r="M117" s="16" t="s">
        <v>3</v>
      </c>
      <c r="N117" s="16" t="s">
        <v>3</v>
      </c>
      <c r="O117" s="16" t="s">
        <v>3</v>
      </c>
      <c r="P117" s="11" t="s">
        <v>17</v>
      </c>
      <c r="Q117" s="4">
        <v>7.5</v>
      </c>
      <c r="R117" s="5" t="s">
        <v>913</v>
      </c>
      <c r="S117" s="5" t="b">
        <f t="shared" si="2"/>
        <v>1</v>
      </c>
    </row>
    <row r="118" spans="1:19" s="5" customFormat="1" ht="42" customHeight="1">
      <c r="A118" s="2">
        <v>116</v>
      </c>
      <c r="B118" s="12">
        <v>2544640597</v>
      </c>
      <c r="C118" s="21">
        <v>250371509171</v>
      </c>
      <c r="D118" s="17">
        <f t="shared" si="3"/>
        <v>250185</v>
      </c>
      <c r="E118" s="22" t="s">
        <v>914</v>
      </c>
      <c r="F118" s="12" t="s">
        <v>29</v>
      </c>
      <c r="G118" s="20" t="s">
        <v>15</v>
      </c>
      <c r="H118" s="19" t="s">
        <v>34</v>
      </c>
      <c r="I118" s="16" t="s">
        <v>4</v>
      </c>
      <c r="J118" s="16" t="s">
        <v>2</v>
      </c>
      <c r="K118" s="16" t="s">
        <v>4</v>
      </c>
      <c r="L118" s="16" t="s">
        <v>4</v>
      </c>
      <c r="M118" s="16" t="s">
        <v>4</v>
      </c>
      <c r="N118" s="16" t="s">
        <v>5</v>
      </c>
      <c r="O118" s="16" t="s">
        <v>4</v>
      </c>
      <c r="P118" s="11" t="s">
        <v>17</v>
      </c>
      <c r="Q118" s="4">
        <v>7.166666666666667</v>
      </c>
      <c r="R118" s="5" t="s">
        <v>914</v>
      </c>
      <c r="S118" s="5" t="b">
        <f t="shared" si="2"/>
        <v>1</v>
      </c>
    </row>
    <row r="119" spans="1:19" s="5" customFormat="1" ht="42" customHeight="1">
      <c r="A119" s="2">
        <v>117</v>
      </c>
      <c r="B119" s="12">
        <v>2544640094</v>
      </c>
      <c r="C119" s="21">
        <v>250371509172</v>
      </c>
      <c r="D119" s="17">
        <f t="shared" si="3"/>
        <v>250186</v>
      </c>
      <c r="E119" s="22" t="s">
        <v>915</v>
      </c>
      <c r="F119" s="12" t="s">
        <v>29</v>
      </c>
      <c r="G119" s="20" t="s">
        <v>15</v>
      </c>
      <c r="H119" s="19" t="s">
        <v>34</v>
      </c>
      <c r="I119" s="16" t="s">
        <v>3</v>
      </c>
      <c r="J119" s="16" t="s">
        <v>8</v>
      </c>
      <c r="K119" s="16" t="s">
        <v>3</v>
      </c>
      <c r="L119" s="16" t="s">
        <v>3</v>
      </c>
      <c r="M119" s="16" t="s">
        <v>4</v>
      </c>
      <c r="N119" s="16" t="s">
        <v>2</v>
      </c>
      <c r="O119" s="16" t="s">
        <v>8</v>
      </c>
      <c r="P119" s="11" t="s">
        <v>17</v>
      </c>
      <c r="Q119" s="4">
        <v>8.5555555555555554</v>
      </c>
      <c r="R119" s="5" t="s">
        <v>915</v>
      </c>
      <c r="S119" s="5" t="b">
        <f t="shared" si="2"/>
        <v>1</v>
      </c>
    </row>
    <row r="120" spans="1:19" s="5" customFormat="1" ht="42" customHeight="1">
      <c r="A120" s="2">
        <v>118</v>
      </c>
      <c r="B120" s="12">
        <v>2544640243</v>
      </c>
      <c r="C120" s="21">
        <v>250371509173</v>
      </c>
      <c r="D120" s="17">
        <f t="shared" si="3"/>
        <v>250187</v>
      </c>
      <c r="E120" s="22" t="s">
        <v>916</v>
      </c>
      <c r="F120" s="12" t="s">
        <v>29</v>
      </c>
      <c r="G120" s="20" t="s">
        <v>15</v>
      </c>
      <c r="H120" s="19" t="s">
        <v>34</v>
      </c>
      <c r="I120" s="16" t="s">
        <v>3</v>
      </c>
      <c r="J120" s="16" t="s">
        <v>8</v>
      </c>
      <c r="K120" s="16" t="s">
        <v>3</v>
      </c>
      <c r="L120" s="16" t="s">
        <v>3</v>
      </c>
      <c r="M120" s="16" t="s">
        <v>2</v>
      </c>
      <c r="N120" s="16" t="s">
        <v>2</v>
      </c>
      <c r="O120" s="16" t="s">
        <v>8</v>
      </c>
      <c r="P120" s="11" t="s">
        <v>17</v>
      </c>
      <c r="Q120" s="4">
        <v>8.6666666666666661</v>
      </c>
      <c r="R120" s="5" t="s">
        <v>916</v>
      </c>
      <c r="S120" s="5" t="b">
        <f t="shared" si="2"/>
        <v>1</v>
      </c>
    </row>
    <row r="121" spans="1:19" s="5" customFormat="1" ht="42" customHeight="1">
      <c r="A121" s="2">
        <v>119</v>
      </c>
      <c r="B121" s="12">
        <v>2544640234</v>
      </c>
      <c r="C121" s="21">
        <v>250371509176</v>
      </c>
      <c r="D121" s="17">
        <f t="shared" si="3"/>
        <v>250188</v>
      </c>
      <c r="E121" s="22" t="s">
        <v>917</v>
      </c>
      <c r="F121" s="12" t="s">
        <v>29</v>
      </c>
      <c r="G121" s="20" t="s">
        <v>15</v>
      </c>
      <c r="H121" s="19" t="s">
        <v>34</v>
      </c>
      <c r="I121" s="16" t="s">
        <v>3</v>
      </c>
      <c r="J121" s="16" t="s">
        <v>8</v>
      </c>
      <c r="K121" s="16" t="s">
        <v>2</v>
      </c>
      <c r="L121" s="16" t="s">
        <v>2</v>
      </c>
      <c r="M121" s="16" t="s">
        <v>8</v>
      </c>
      <c r="N121" s="16" t="s">
        <v>2</v>
      </c>
      <c r="O121" s="16" t="s">
        <v>8</v>
      </c>
      <c r="P121" s="11" t="s">
        <v>17</v>
      </c>
      <c r="Q121" s="4">
        <v>9.1111111111111107</v>
      </c>
      <c r="R121" s="5" t="s">
        <v>917</v>
      </c>
      <c r="S121" s="5" t="b">
        <f t="shared" si="2"/>
        <v>1</v>
      </c>
    </row>
    <row r="122" spans="1:19" s="5" customFormat="1" ht="42" customHeight="1">
      <c r="A122" s="2">
        <v>120</v>
      </c>
      <c r="B122" s="12">
        <v>2544640433</v>
      </c>
      <c r="C122" s="21">
        <v>250371509177</v>
      </c>
      <c r="D122" s="17">
        <f t="shared" si="3"/>
        <v>250189</v>
      </c>
      <c r="E122" s="22" t="s">
        <v>918</v>
      </c>
      <c r="F122" s="12" t="s">
        <v>29</v>
      </c>
      <c r="G122" s="20" t="s">
        <v>15</v>
      </c>
      <c r="H122" s="19" t="s">
        <v>34</v>
      </c>
      <c r="I122" s="16" t="s">
        <v>4</v>
      </c>
      <c r="J122" s="16" t="s">
        <v>2</v>
      </c>
      <c r="K122" s="16" t="s">
        <v>4</v>
      </c>
      <c r="L122" s="16" t="s">
        <v>3</v>
      </c>
      <c r="M122" s="16" t="s">
        <v>2</v>
      </c>
      <c r="N122" s="16" t="s">
        <v>4</v>
      </c>
      <c r="O122" s="16" t="s">
        <v>8</v>
      </c>
      <c r="P122" s="11" t="s">
        <v>17</v>
      </c>
      <c r="Q122" s="4">
        <v>7.7777777777777777</v>
      </c>
      <c r="R122" s="5" t="s">
        <v>918</v>
      </c>
      <c r="S122" s="5" t="b">
        <f t="shared" si="2"/>
        <v>1</v>
      </c>
    </row>
    <row r="123" spans="1:19" s="5" customFormat="1" ht="42" customHeight="1">
      <c r="A123" s="2">
        <v>121</v>
      </c>
      <c r="B123" s="12">
        <v>2544640340</v>
      </c>
      <c r="C123" s="21">
        <v>250371509178</v>
      </c>
      <c r="D123" s="17">
        <f t="shared" si="3"/>
        <v>250190</v>
      </c>
      <c r="E123" s="22" t="s">
        <v>919</v>
      </c>
      <c r="F123" s="12" t="s">
        <v>29</v>
      </c>
      <c r="G123" s="20" t="s">
        <v>15</v>
      </c>
      <c r="H123" s="19" t="s">
        <v>34</v>
      </c>
      <c r="I123" s="16" t="s">
        <v>3</v>
      </c>
      <c r="J123" s="16" t="s">
        <v>8</v>
      </c>
      <c r="K123" s="16" t="s">
        <v>3</v>
      </c>
      <c r="L123" s="16" t="s">
        <v>8</v>
      </c>
      <c r="M123" s="16" t="s">
        <v>2</v>
      </c>
      <c r="N123" s="16" t="s">
        <v>2</v>
      </c>
      <c r="O123" s="16" t="s">
        <v>8</v>
      </c>
      <c r="P123" s="11" t="s">
        <v>17</v>
      </c>
      <c r="Q123" s="4">
        <v>9</v>
      </c>
      <c r="R123" s="5" t="s">
        <v>919</v>
      </c>
      <c r="S123" s="5" t="b">
        <f t="shared" si="2"/>
        <v>1</v>
      </c>
    </row>
    <row r="124" spans="1:19" s="5" customFormat="1" ht="42" customHeight="1">
      <c r="A124" s="2">
        <v>122</v>
      </c>
      <c r="B124" s="12">
        <v>2544640311</v>
      </c>
      <c r="C124" s="21">
        <v>250371509179</v>
      </c>
      <c r="D124" s="17">
        <f t="shared" si="3"/>
        <v>250191</v>
      </c>
      <c r="E124" s="22" t="s">
        <v>920</v>
      </c>
      <c r="F124" s="12" t="s">
        <v>29</v>
      </c>
      <c r="G124" s="20" t="s">
        <v>15</v>
      </c>
      <c r="H124" s="19" t="s">
        <v>34</v>
      </c>
      <c r="I124" s="16" t="s">
        <v>3</v>
      </c>
      <c r="J124" s="16" t="s">
        <v>8</v>
      </c>
      <c r="K124" s="16" t="s">
        <v>2</v>
      </c>
      <c r="L124" s="16" t="s">
        <v>8</v>
      </c>
      <c r="M124" s="16" t="s">
        <v>8</v>
      </c>
      <c r="N124" s="16" t="s">
        <v>8</v>
      </c>
      <c r="O124" s="16" t="s">
        <v>8</v>
      </c>
      <c r="P124" s="11" t="s">
        <v>17</v>
      </c>
      <c r="Q124" s="4">
        <v>9.4444444444444446</v>
      </c>
      <c r="R124" s="5" t="s">
        <v>920</v>
      </c>
      <c r="S124" s="5" t="b">
        <f t="shared" si="2"/>
        <v>1</v>
      </c>
    </row>
    <row r="125" spans="1:19" s="5" customFormat="1" ht="42" customHeight="1">
      <c r="A125" s="2">
        <v>123</v>
      </c>
      <c r="B125" s="12">
        <v>2544640300</v>
      </c>
      <c r="C125" s="21">
        <v>250371509180</v>
      </c>
      <c r="D125" s="17">
        <f t="shared" si="3"/>
        <v>250192</v>
      </c>
      <c r="E125" s="22" t="s">
        <v>921</v>
      </c>
      <c r="F125" s="12" t="s">
        <v>29</v>
      </c>
      <c r="G125" s="20" t="s">
        <v>15</v>
      </c>
      <c r="H125" s="19" t="s">
        <v>34</v>
      </c>
      <c r="I125" s="16" t="s">
        <v>3</v>
      </c>
      <c r="J125" s="16" t="s">
        <v>2</v>
      </c>
      <c r="K125" s="16" t="s">
        <v>3</v>
      </c>
      <c r="L125" s="16" t="s">
        <v>2</v>
      </c>
      <c r="M125" s="16" t="s">
        <v>2</v>
      </c>
      <c r="N125" s="16" t="s">
        <v>7</v>
      </c>
      <c r="O125" s="16" t="s">
        <v>2</v>
      </c>
      <c r="P125" s="11" t="s">
        <v>7</v>
      </c>
      <c r="Q125" s="4">
        <v>0</v>
      </c>
      <c r="R125" s="5" t="s">
        <v>921</v>
      </c>
      <c r="S125" s="5" t="b">
        <f t="shared" si="2"/>
        <v>1</v>
      </c>
    </row>
    <row r="126" spans="1:19" s="5" customFormat="1" ht="42" customHeight="1">
      <c r="A126" s="2">
        <v>124</v>
      </c>
      <c r="B126" s="12">
        <v>2544640517</v>
      </c>
      <c r="C126" s="21">
        <v>250371509181</v>
      </c>
      <c r="D126" s="17">
        <f t="shared" si="3"/>
        <v>250193</v>
      </c>
      <c r="E126" s="22" t="s">
        <v>922</v>
      </c>
      <c r="F126" s="12" t="s">
        <v>29</v>
      </c>
      <c r="G126" s="20" t="s">
        <v>15</v>
      </c>
      <c r="H126" s="19" t="s">
        <v>34</v>
      </c>
      <c r="I126" s="16" t="s">
        <v>4</v>
      </c>
      <c r="J126" s="16" t="s">
        <v>8</v>
      </c>
      <c r="K126" s="16" t="s">
        <v>3</v>
      </c>
      <c r="L126" s="16" t="s">
        <v>4</v>
      </c>
      <c r="M126" s="16" t="s">
        <v>3</v>
      </c>
      <c r="N126" s="16" t="s">
        <v>3</v>
      </c>
      <c r="O126" s="16" t="s">
        <v>3</v>
      </c>
      <c r="P126" s="11" t="s">
        <v>17</v>
      </c>
      <c r="Q126" s="4">
        <v>8</v>
      </c>
      <c r="R126" s="5" t="s">
        <v>922</v>
      </c>
      <c r="S126" s="5" t="b">
        <f t="shared" si="2"/>
        <v>1</v>
      </c>
    </row>
    <row r="127" spans="1:19" s="5" customFormat="1" ht="42" customHeight="1">
      <c r="A127" s="2">
        <v>125</v>
      </c>
      <c r="B127" s="12">
        <v>2544640353</v>
      </c>
      <c r="C127" s="21">
        <v>250371509183</v>
      </c>
      <c r="D127" s="17">
        <f t="shared" si="3"/>
        <v>250194</v>
      </c>
      <c r="E127" s="22" t="s">
        <v>923</v>
      </c>
      <c r="F127" s="12" t="s">
        <v>29</v>
      </c>
      <c r="G127" s="20" t="s">
        <v>15</v>
      </c>
      <c r="H127" s="19" t="s">
        <v>34</v>
      </c>
      <c r="I127" s="16" t="s">
        <v>5</v>
      </c>
      <c r="J127" s="16" t="s">
        <v>11</v>
      </c>
      <c r="K127" s="16" t="s">
        <v>5</v>
      </c>
      <c r="L127" s="16" t="s">
        <v>3</v>
      </c>
      <c r="M127" s="16" t="s">
        <v>4</v>
      </c>
      <c r="N127" s="16" t="s">
        <v>5</v>
      </c>
      <c r="O127" s="16" t="s">
        <v>3</v>
      </c>
      <c r="P127" s="11" t="s">
        <v>17</v>
      </c>
      <c r="Q127" s="4">
        <v>6.166666666666667</v>
      </c>
      <c r="R127" s="5" t="s">
        <v>923</v>
      </c>
      <c r="S127" s="5" t="b">
        <f t="shared" si="2"/>
        <v>1</v>
      </c>
    </row>
    <row r="128" spans="1:19" s="5" customFormat="1" ht="42" customHeight="1">
      <c r="A128" s="2">
        <v>126</v>
      </c>
      <c r="B128" s="12">
        <v>2544640622</v>
      </c>
      <c r="C128" s="21">
        <v>250371509185</v>
      </c>
      <c r="D128" s="17">
        <f t="shared" si="3"/>
        <v>250195</v>
      </c>
      <c r="E128" s="22" t="s">
        <v>924</v>
      </c>
      <c r="F128" s="12" t="s">
        <v>29</v>
      </c>
      <c r="G128" s="20" t="s">
        <v>15</v>
      </c>
      <c r="H128" s="19" t="s">
        <v>34</v>
      </c>
      <c r="I128" s="16" t="s">
        <v>6</v>
      </c>
      <c r="J128" s="16" t="s">
        <v>3</v>
      </c>
      <c r="K128" s="16" t="s">
        <v>3</v>
      </c>
      <c r="L128" s="16" t="s">
        <v>1517</v>
      </c>
      <c r="M128" s="16" t="s">
        <v>3</v>
      </c>
      <c r="N128" s="16" t="s">
        <v>2</v>
      </c>
      <c r="O128" s="16" t="s">
        <v>2</v>
      </c>
      <c r="P128" s="11" t="s">
        <v>1517</v>
      </c>
      <c r="Q128" s="4">
        <v>0</v>
      </c>
      <c r="R128" s="5" t="s">
        <v>924</v>
      </c>
      <c r="S128" s="5" t="b">
        <f t="shared" si="2"/>
        <v>1</v>
      </c>
    </row>
    <row r="129" spans="1:19" s="5" customFormat="1" ht="42" customHeight="1">
      <c r="A129" s="2">
        <v>127</v>
      </c>
      <c r="B129" s="12">
        <v>2544640032</v>
      </c>
      <c r="C129" s="21">
        <v>250371509186</v>
      </c>
      <c r="D129" s="17">
        <f t="shared" si="3"/>
        <v>250196</v>
      </c>
      <c r="E129" s="22" t="s">
        <v>925</v>
      </c>
      <c r="F129" s="12" t="s">
        <v>29</v>
      </c>
      <c r="G129" s="20" t="s">
        <v>15</v>
      </c>
      <c r="H129" s="19" t="s">
        <v>34</v>
      </c>
      <c r="I129" s="16" t="s">
        <v>4</v>
      </c>
      <c r="J129" s="16" t="s">
        <v>2</v>
      </c>
      <c r="K129" s="16" t="s">
        <v>3</v>
      </c>
      <c r="L129" s="16" t="s">
        <v>8</v>
      </c>
      <c r="M129" s="16" t="s">
        <v>4</v>
      </c>
      <c r="N129" s="16" t="s">
        <v>2</v>
      </c>
      <c r="O129" s="16" t="s">
        <v>8</v>
      </c>
      <c r="P129" s="11" t="s">
        <v>17</v>
      </c>
      <c r="Q129" s="4">
        <v>8.5555555555555554</v>
      </c>
      <c r="R129" s="5" t="s">
        <v>925</v>
      </c>
      <c r="S129" s="5" t="b">
        <f t="shared" si="2"/>
        <v>1</v>
      </c>
    </row>
    <row r="130" spans="1:19" s="5" customFormat="1" ht="42" customHeight="1">
      <c r="A130" s="2">
        <v>128</v>
      </c>
      <c r="B130" s="12">
        <v>2544640315</v>
      </c>
      <c r="C130" s="21">
        <v>250371509188</v>
      </c>
      <c r="D130" s="17">
        <f t="shared" si="3"/>
        <v>250197</v>
      </c>
      <c r="E130" s="22" t="s">
        <v>926</v>
      </c>
      <c r="F130" s="12" t="s">
        <v>29</v>
      </c>
      <c r="G130" s="20" t="s">
        <v>15</v>
      </c>
      <c r="H130" s="19" t="s">
        <v>34</v>
      </c>
      <c r="I130" s="16" t="s">
        <v>4</v>
      </c>
      <c r="J130" s="16" t="s">
        <v>8</v>
      </c>
      <c r="K130" s="16" t="s">
        <v>2</v>
      </c>
      <c r="L130" s="16" t="s">
        <v>8</v>
      </c>
      <c r="M130" s="16" t="s">
        <v>8</v>
      </c>
      <c r="N130" s="16" t="s">
        <v>2</v>
      </c>
      <c r="O130" s="16" t="s">
        <v>8</v>
      </c>
      <c r="P130" s="11" t="s">
        <v>17</v>
      </c>
      <c r="Q130" s="4">
        <v>9.1111111111111107</v>
      </c>
      <c r="R130" s="5" t="s">
        <v>926</v>
      </c>
      <c r="S130" s="5" t="b">
        <f t="shared" si="2"/>
        <v>1</v>
      </c>
    </row>
    <row r="131" spans="1:19" s="5" customFormat="1" ht="42" customHeight="1">
      <c r="A131" s="2">
        <v>129</v>
      </c>
      <c r="B131" s="12">
        <v>2544640321</v>
      </c>
      <c r="C131" s="21">
        <v>250371509189</v>
      </c>
      <c r="D131" s="17">
        <f t="shared" si="3"/>
        <v>250198</v>
      </c>
      <c r="E131" s="22" t="s">
        <v>927</v>
      </c>
      <c r="F131" s="12" t="s">
        <v>29</v>
      </c>
      <c r="G131" s="20" t="s">
        <v>15</v>
      </c>
      <c r="H131" s="19" t="s">
        <v>34</v>
      </c>
      <c r="I131" s="16" t="s">
        <v>6</v>
      </c>
      <c r="J131" s="16" t="s">
        <v>4</v>
      </c>
      <c r="K131" s="16" t="s">
        <v>3</v>
      </c>
      <c r="L131" s="16" t="s">
        <v>2</v>
      </c>
      <c r="M131" s="16" t="s">
        <v>2</v>
      </c>
      <c r="N131" s="16" t="s">
        <v>4</v>
      </c>
      <c r="O131" s="16" t="s">
        <v>8</v>
      </c>
      <c r="P131" s="11" t="s">
        <v>17</v>
      </c>
      <c r="Q131" s="4">
        <v>7.5</v>
      </c>
      <c r="R131" s="5" t="s">
        <v>927</v>
      </c>
      <c r="S131" s="5" t="b">
        <f t="shared" si="2"/>
        <v>1</v>
      </c>
    </row>
    <row r="132" spans="1:19" s="5" customFormat="1" ht="42" customHeight="1">
      <c r="A132" s="2">
        <v>130</v>
      </c>
      <c r="B132" s="12">
        <v>2544640423</v>
      </c>
      <c r="C132" s="21">
        <v>250371509191</v>
      </c>
      <c r="D132" s="17">
        <f t="shared" si="3"/>
        <v>250199</v>
      </c>
      <c r="E132" s="22" t="s">
        <v>928</v>
      </c>
      <c r="F132" s="12" t="s">
        <v>29</v>
      </c>
      <c r="G132" s="20" t="s">
        <v>15</v>
      </c>
      <c r="H132" s="19" t="s">
        <v>34</v>
      </c>
      <c r="I132" s="16" t="s">
        <v>5</v>
      </c>
      <c r="J132" s="16" t="s">
        <v>8</v>
      </c>
      <c r="K132" s="16" t="s">
        <v>4</v>
      </c>
      <c r="L132" s="16" t="s">
        <v>2</v>
      </c>
      <c r="M132" s="16" t="s">
        <v>3</v>
      </c>
      <c r="N132" s="16" t="s">
        <v>2</v>
      </c>
      <c r="O132" s="16" t="s">
        <v>2</v>
      </c>
      <c r="P132" s="11" t="s">
        <v>17</v>
      </c>
      <c r="Q132" s="4">
        <v>8.1666666666666661</v>
      </c>
      <c r="R132" s="5" t="s">
        <v>928</v>
      </c>
      <c r="S132" s="5" t="b">
        <f t="shared" ref="S132:S195" si="4">R132=E132</f>
        <v>1</v>
      </c>
    </row>
    <row r="133" spans="1:19" s="5" customFormat="1" ht="42" customHeight="1">
      <c r="A133" s="2">
        <v>131</v>
      </c>
      <c r="B133" s="12">
        <v>2544640304</v>
      </c>
      <c r="C133" s="21">
        <v>250371509192</v>
      </c>
      <c r="D133" s="17">
        <f t="shared" ref="D133:D196" si="5">D132+1</f>
        <v>250200</v>
      </c>
      <c r="E133" s="22" t="s">
        <v>929</v>
      </c>
      <c r="F133" s="12" t="s">
        <v>29</v>
      </c>
      <c r="G133" s="20" t="s">
        <v>15</v>
      </c>
      <c r="H133" s="19" t="s">
        <v>34</v>
      </c>
      <c r="I133" s="16" t="s">
        <v>4</v>
      </c>
      <c r="J133" s="16" t="s">
        <v>2</v>
      </c>
      <c r="K133" s="16" t="s">
        <v>4</v>
      </c>
      <c r="L133" s="16" t="s">
        <v>2</v>
      </c>
      <c r="M133" s="16" t="s">
        <v>3</v>
      </c>
      <c r="N133" s="16" t="s">
        <v>2</v>
      </c>
      <c r="O133" s="16" t="s">
        <v>8</v>
      </c>
      <c r="P133" s="11" t="s">
        <v>17</v>
      </c>
      <c r="Q133" s="4">
        <v>8.2222222222222214</v>
      </c>
      <c r="R133" s="5" t="s">
        <v>929</v>
      </c>
      <c r="S133" s="5" t="b">
        <f t="shared" si="4"/>
        <v>1</v>
      </c>
    </row>
    <row r="134" spans="1:19" s="5" customFormat="1" ht="42" customHeight="1">
      <c r="A134" s="2">
        <v>132</v>
      </c>
      <c r="B134" s="12">
        <v>2544640325</v>
      </c>
      <c r="C134" s="21">
        <v>250371509193</v>
      </c>
      <c r="D134" s="17">
        <f t="shared" si="5"/>
        <v>250201</v>
      </c>
      <c r="E134" s="22" t="s">
        <v>930</v>
      </c>
      <c r="F134" s="12" t="s">
        <v>29</v>
      </c>
      <c r="G134" s="20" t="s">
        <v>15</v>
      </c>
      <c r="H134" s="19" t="s">
        <v>34</v>
      </c>
      <c r="I134" s="16" t="s">
        <v>4</v>
      </c>
      <c r="J134" s="16" t="s">
        <v>8</v>
      </c>
      <c r="K134" s="16" t="s">
        <v>3</v>
      </c>
      <c r="L134" s="16" t="s">
        <v>2</v>
      </c>
      <c r="M134" s="16" t="s">
        <v>3</v>
      </c>
      <c r="N134" s="16" t="s">
        <v>2</v>
      </c>
      <c r="O134" s="16" t="s">
        <v>8</v>
      </c>
      <c r="P134" s="11" t="s">
        <v>17</v>
      </c>
      <c r="Q134" s="4">
        <v>8.6111111111111107</v>
      </c>
      <c r="R134" s="5" t="s">
        <v>930</v>
      </c>
      <c r="S134" s="5" t="b">
        <f t="shared" si="4"/>
        <v>1</v>
      </c>
    </row>
    <row r="135" spans="1:19" s="5" customFormat="1" ht="42" customHeight="1">
      <c r="A135" s="2">
        <v>133</v>
      </c>
      <c r="B135" s="12">
        <v>2544640332</v>
      </c>
      <c r="C135" s="21">
        <v>250371509194</v>
      </c>
      <c r="D135" s="17">
        <f t="shared" si="5"/>
        <v>250202</v>
      </c>
      <c r="E135" s="22" t="s">
        <v>931</v>
      </c>
      <c r="F135" s="12" t="s">
        <v>29</v>
      </c>
      <c r="G135" s="20" t="s">
        <v>15</v>
      </c>
      <c r="H135" s="19" t="s">
        <v>34</v>
      </c>
      <c r="I135" s="16" t="s">
        <v>4</v>
      </c>
      <c r="J135" s="16" t="s">
        <v>3</v>
      </c>
      <c r="K135" s="16" t="s">
        <v>4</v>
      </c>
      <c r="L135" s="16" t="s">
        <v>2</v>
      </c>
      <c r="M135" s="16" t="s">
        <v>3</v>
      </c>
      <c r="N135" s="16" t="s">
        <v>3</v>
      </c>
      <c r="O135" s="16" t="s">
        <v>8</v>
      </c>
      <c r="P135" s="11" t="s">
        <v>17</v>
      </c>
      <c r="Q135" s="4">
        <v>7.8888888888888893</v>
      </c>
      <c r="R135" s="5" t="s">
        <v>931</v>
      </c>
      <c r="S135" s="5" t="b">
        <f t="shared" si="4"/>
        <v>1</v>
      </c>
    </row>
    <row r="136" spans="1:19" s="5" customFormat="1" ht="42" customHeight="1">
      <c r="A136" s="2">
        <v>134</v>
      </c>
      <c r="B136" s="12">
        <v>2544640415</v>
      </c>
      <c r="C136" s="21">
        <v>250371509195</v>
      </c>
      <c r="D136" s="17">
        <f t="shared" si="5"/>
        <v>250203</v>
      </c>
      <c r="E136" s="22" t="s">
        <v>932</v>
      </c>
      <c r="F136" s="12" t="s">
        <v>29</v>
      </c>
      <c r="G136" s="20" t="s">
        <v>15</v>
      </c>
      <c r="H136" s="19" t="s">
        <v>34</v>
      </c>
      <c r="I136" s="16" t="s">
        <v>4</v>
      </c>
      <c r="J136" s="16" t="s">
        <v>8</v>
      </c>
      <c r="K136" s="16" t="s">
        <v>3</v>
      </c>
      <c r="L136" s="16" t="s">
        <v>2</v>
      </c>
      <c r="M136" s="16" t="s">
        <v>8</v>
      </c>
      <c r="N136" s="16" t="s">
        <v>2</v>
      </c>
      <c r="O136" s="16" t="s">
        <v>8</v>
      </c>
      <c r="P136" s="11" t="s">
        <v>17</v>
      </c>
      <c r="Q136" s="4">
        <v>8.7222222222222214</v>
      </c>
      <c r="R136" s="5" t="s">
        <v>932</v>
      </c>
      <c r="S136" s="5" t="b">
        <f t="shared" si="4"/>
        <v>1</v>
      </c>
    </row>
    <row r="137" spans="1:19" s="5" customFormat="1" ht="42" customHeight="1">
      <c r="A137" s="2">
        <v>135</v>
      </c>
      <c r="B137" s="12">
        <v>2544640302</v>
      </c>
      <c r="C137" s="21">
        <v>250371509196</v>
      </c>
      <c r="D137" s="17">
        <f t="shared" si="5"/>
        <v>250204</v>
      </c>
      <c r="E137" s="22" t="s">
        <v>933</v>
      </c>
      <c r="F137" s="12" t="s">
        <v>29</v>
      </c>
      <c r="G137" s="20" t="s">
        <v>15</v>
      </c>
      <c r="H137" s="19" t="s">
        <v>34</v>
      </c>
      <c r="I137" s="16" t="s">
        <v>5</v>
      </c>
      <c r="J137" s="16" t="s">
        <v>4</v>
      </c>
      <c r="K137" s="16" t="s">
        <v>4</v>
      </c>
      <c r="L137" s="16" t="s">
        <v>2</v>
      </c>
      <c r="M137" s="16" t="s">
        <v>8</v>
      </c>
      <c r="N137" s="16" t="s">
        <v>3</v>
      </c>
      <c r="O137" s="16" t="s">
        <v>8</v>
      </c>
      <c r="P137" s="11" t="s">
        <v>17</v>
      </c>
      <c r="Q137" s="4">
        <v>7.666666666666667</v>
      </c>
      <c r="R137" s="5" t="s">
        <v>933</v>
      </c>
      <c r="S137" s="5" t="b">
        <f t="shared" si="4"/>
        <v>1</v>
      </c>
    </row>
    <row r="138" spans="1:19" s="5" customFormat="1" ht="42" customHeight="1">
      <c r="A138" s="2">
        <v>136</v>
      </c>
      <c r="B138" s="12">
        <v>2544640174</v>
      </c>
      <c r="C138" s="21">
        <v>250371509197</v>
      </c>
      <c r="D138" s="17">
        <f t="shared" si="5"/>
        <v>250205</v>
      </c>
      <c r="E138" s="22" t="s">
        <v>934</v>
      </c>
      <c r="F138" s="12" t="s">
        <v>29</v>
      </c>
      <c r="G138" s="20" t="s">
        <v>15</v>
      </c>
      <c r="H138" s="19" t="s">
        <v>34</v>
      </c>
      <c r="I138" s="16" t="s">
        <v>3</v>
      </c>
      <c r="J138" s="16" t="s">
        <v>8</v>
      </c>
      <c r="K138" s="16" t="s">
        <v>3</v>
      </c>
      <c r="L138" s="16" t="s">
        <v>2</v>
      </c>
      <c r="M138" s="16" t="s">
        <v>3</v>
      </c>
      <c r="N138" s="16" t="s">
        <v>3</v>
      </c>
      <c r="O138" s="16" t="s">
        <v>2</v>
      </c>
      <c r="P138" s="11" t="s">
        <v>17</v>
      </c>
      <c r="Q138" s="4">
        <v>8.5555555555555554</v>
      </c>
      <c r="R138" s="5" t="s">
        <v>934</v>
      </c>
      <c r="S138" s="5" t="b">
        <f t="shared" si="4"/>
        <v>1</v>
      </c>
    </row>
    <row r="139" spans="1:19" s="5" customFormat="1" ht="42" customHeight="1">
      <c r="A139" s="2">
        <v>137</v>
      </c>
      <c r="B139" s="12">
        <v>2544640725</v>
      </c>
      <c r="C139" s="21">
        <v>250371509198</v>
      </c>
      <c r="D139" s="17">
        <f t="shared" si="5"/>
        <v>250206</v>
      </c>
      <c r="E139" s="22" t="s">
        <v>935</v>
      </c>
      <c r="F139" s="12" t="s">
        <v>29</v>
      </c>
      <c r="G139" s="20" t="s">
        <v>15</v>
      </c>
      <c r="H139" s="19" t="s">
        <v>34</v>
      </c>
      <c r="I139" s="16" t="s">
        <v>1532</v>
      </c>
      <c r="J139" s="16" t="s">
        <v>1532</v>
      </c>
      <c r="K139" s="16" t="s">
        <v>1532</v>
      </c>
      <c r="L139" s="16" t="s">
        <v>1532</v>
      </c>
      <c r="M139" s="16" t="s">
        <v>4</v>
      </c>
      <c r="N139" s="16" t="s">
        <v>1532</v>
      </c>
      <c r="O139" s="16" t="s">
        <v>5</v>
      </c>
      <c r="P139" s="11" t="s">
        <v>7</v>
      </c>
      <c r="Q139" s="4">
        <v>0</v>
      </c>
      <c r="R139" s="5" t="s">
        <v>935</v>
      </c>
      <c r="S139" s="5" t="b">
        <f t="shared" si="4"/>
        <v>1</v>
      </c>
    </row>
    <row r="140" spans="1:19" s="5" customFormat="1" ht="42" customHeight="1">
      <c r="A140" s="2">
        <v>138</v>
      </c>
      <c r="B140" s="12">
        <v>2544640492</v>
      </c>
      <c r="C140" s="21">
        <v>250371509199</v>
      </c>
      <c r="D140" s="17">
        <f t="shared" si="5"/>
        <v>250207</v>
      </c>
      <c r="E140" s="22" t="s">
        <v>936</v>
      </c>
      <c r="F140" s="12" t="s">
        <v>29</v>
      </c>
      <c r="G140" s="20" t="s">
        <v>15</v>
      </c>
      <c r="H140" s="19" t="s">
        <v>34</v>
      </c>
      <c r="I140" s="16" t="s">
        <v>4</v>
      </c>
      <c r="J140" s="16" t="s">
        <v>2</v>
      </c>
      <c r="K140" s="16" t="s">
        <v>4</v>
      </c>
      <c r="L140" s="16" t="s">
        <v>3</v>
      </c>
      <c r="M140" s="16" t="s">
        <v>4</v>
      </c>
      <c r="N140" s="16" t="s">
        <v>3</v>
      </c>
      <c r="O140" s="16" t="s">
        <v>5</v>
      </c>
      <c r="P140" s="11" t="s">
        <v>17</v>
      </c>
      <c r="Q140" s="4">
        <v>7.6111111111111107</v>
      </c>
      <c r="R140" s="5" t="s">
        <v>936</v>
      </c>
      <c r="S140" s="5" t="b">
        <f t="shared" si="4"/>
        <v>1</v>
      </c>
    </row>
    <row r="141" spans="1:19" s="5" customFormat="1" ht="42" customHeight="1">
      <c r="A141" s="2">
        <v>139</v>
      </c>
      <c r="B141" s="12">
        <v>2544640589</v>
      </c>
      <c r="C141" s="21">
        <v>250371509200</v>
      </c>
      <c r="D141" s="17">
        <f t="shared" si="5"/>
        <v>250208</v>
      </c>
      <c r="E141" s="22" t="s">
        <v>937</v>
      </c>
      <c r="F141" s="12" t="s">
        <v>29</v>
      </c>
      <c r="G141" s="20" t="s">
        <v>15</v>
      </c>
      <c r="H141" s="19" t="s">
        <v>34</v>
      </c>
      <c r="I141" s="16" t="s">
        <v>4</v>
      </c>
      <c r="J141" s="16" t="s">
        <v>2</v>
      </c>
      <c r="K141" s="16" t="s">
        <v>4</v>
      </c>
      <c r="L141" s="16" t="s">
        <v>2</v>
      </c>
      <c r="M141" s="16" t="s">
        <v>4</v>
      </c>
      <c r="N141" s="16" t="s">
        <v>3</v>
      </c>
      <c r="O141" s="16" t="s">
        <v>8</v>
      </c>
      <c r="P141" s="11" t="s">
        <v>17</v>
      </c>
      <c r="Q141" s="4">
        <v>8</v>
      </c>
      <c r="R141" s="5" t="s">
        <v>937</v>
      </c>
      <c r="S141" s="5" t="b">
        <f t="shared" si="4"/>
        <v>1</v>
      </c>
    </row>
    <row r="142" spans="1:19" s="5" customFormat="1" ht="42" customHeight="1">
      <c r="A142" s="2">
        <v>140</v>
      </c>
      <c r="B142" s="12">
        <v>2544640730</v>
      </c>
      <c r="C142" s="21">
        <v>250371509201</v>
      </c>
      <c r="D142" s="17">
        <f t="shared" si="5"/>
        <v>250209</v>
      </c>
      <c r="E142" s="22" t="s">
        <v>938</v>
      </c>
      <c r="F142" s="12" t="s">
        <v>29</v>
      </c>
      <c r="G142" s="20" t="s">
        <v>15</v>
      </c>
      <c r="H142" s="19" t="s">
        <v>34</v>
      </c>
      <c r="I142" s="16" t="s">
        <v>3</v>
      </c>
      <c r="J142" s="16" t="s">
        <v>8</v>
      </c>
      <c r="K142" s="16" t="s">
        <v>3</v>
      </c>
      <c r="L142" s="16" t="s">
        <v>2</v>
      </c>
      <c r="M142" s="16" t="s">
        <v>4</v>
      </c>
      <c r="N142" s="16" t="s">
        <v>2</v>
      </c>
      <c r="O142" s="16" t="s">
        <v>8</v>
      </c>
      <c r="P142" s="11" t="s">
        <v>17</v>
      </c>
      <c r="Q142" s="4">
        <v>8.7222222222222214</v>
      </c>
      <c r="R142" s="5" t="s">
        <v>938</v>
      </c>
      <c r="S142" s="5" t="b">
        <f t="shared" si="4"/>
        <v>1</v>
      </c>
    </row>
    <row r="143" spans="1:19" s="5" customFormat="1" ht="42" customHeight="1">
      <c r="A143" s="2">
        <v>141</v>
      </c>
      <c r="B143" s="12">
        <v>2544640736</v>
      </c>
      <c r="C143" s="21">
        <v>250371509202</v>
      </c>
      <c r="D143" s="17">
        <f t="shared" si="5"/>
        <v>250210</v>
      </c>
      <c r="E143" s="22" t="s">
        <v>939</v>
      </c>
      <c r="F143" s="12" t="s">
        <v>29</v>
      </c>
      <c r="G143" s="20" t="s">
        <v>15</v>
      </c>
      <c r="H143" s="19" t="s">
        <v>34</v>
      </c>
      <c r="I143" s="16" t="s">
        <v>2</v>
      </c>
      <c r="J143" s="16" t="s">
        <v>8</v>
      </c>
      <c r="K143" s="16" t="s">
        <v>3</v>
      </c>
      <c r="L143" s="16" t="s">
        <v>8</v>
      </c>
      <c r="M143" s="16" t="s">
        <v>3</v>
      </c>
      <c r="N143" s="16" t="s">
        <v>2</v>
      </c>
      <c r="O143" s="16" t="s">
        <v>8</v>
      </c>
      <c r="P143" s="11" t="s">
        <v>17</v>
      </c>
      <c r="Q143" s="4">
        <v>9.1111111111111107</v>
      </c>
      <c r="R143" s="5" t="s">
        <v>939</v>
      </c>
      <c r="S143" s="5" t="b">
        <f t="shared" si="4"/>
        <v>1</v>
      </c>
    </row>
    <row r="144" spans="1:19" s="5" customFormat="1" ht="42" customHeight="1">
      <c r="A144" s="2">
        <v>142</v>
      </c>
      <c r="B144" s="12">
        <v>2544640366</v>
      </c>
      <c r="C144" s="21">
        <v>250371509203</v>
      </c>
      <c r="D144" s="17">
        <f t="shared" si="5"/>
        <v>250211</v>
      </c>
      <c r="E144" s="22" t="s">
        <v>940</v>
      </c>
      <c r="F144" s="12" t="s">
        <v>29</v>
      </c>
      <c r="G144" s="20" t="s">
        <v>15</v>
      </c>
      <c r="H144" s="19" t="s">
        <v>34</v>
      </c>
      <c r="I144" s="16" t="s">
        <v>3</v>
      </c>
      <c r="J144" s="16" t="s">
        <v>8</v>
      </c>
      <c r="K144" s="16" t="s">
        <v>3</v>
      </c>
      <c r="L144" s="16" t="s">
        <v>3</v>
      </c>
      <c r="M144" s="16" t="s">
        <v>2</v>
      </c>
      <c r="N144" s="16" t="s">
        <v>3</v>
      </c>
      <c r="O144" s="16" t="s">
        <v>8</v>
      </c>
      <c r="P144" s="11" t="s">
        <v>17</v>
      </c>
      <c r="Q144" s="4">
        <v>8.5</v>
      </c>
      <c r="R144" s="5" t="s">
        <v>940</v>
      </c>
      <c r="S144" s="5" t="b">
        <f t="shared" si="4"/>
        <v>1</v>
      </c>
    </row>
    <row r="145" spans="1:19" s="5" customFormat="1" ht="42" customHeight="1">
      <c r="A145" s="2">
        <v>143</v>
      </c>
      <c r="B145" s="12">
        <v>2544640797</v>
      </c>
      <c r="C145" s="21">
        <v>250371509205</v>
      </c>
      <c r="D145" s="17">
        <f t="shared" si="5"/>
        <v>250212</v>
      </c>
      <c r="E145" s="22" t="s">
        <v>941</v>
      </c>
      <c r="F145" s="12" t="s">
        <v>29</v>
      </c>
      <c r="G145" s="20" t="s">
        <v>15</v>
      </c>
      <c r="H145" s="19" t="s">
        <v>34</v>
      </c>
      <c r="I145" s="16" t="s">
        <v>3</v>
      </c>
      <c r="J145" s="16" t="s">
        <v>2</v>
      </c>
      <c r="K145" s="16" t="s">
        <v>3</v>
      </c>
      <c r="L145" s="16" t="s">
        <v>2</v>
      </c>
      <c r="M145" s="16" t="s">
        <v>2</v>
      </c>
      <c r="N145" s="16" t="s">
        <v>2</v>
      </c>
      <c r="O145" s="16" t="s">
        <v>8</v>
      </c>
      <c r="P145" s="11" t="s">
        <v>17</v>
      </c>
      <c r="Q145" s="4">
        <v>8.6666666666666661</v>
      </c>
      <c r="R145" s="5" t="s">
        <v>941</v>
      </c>
      <c r="S145" s="5" t="b">
        <f t="shared" si="4"/>
        <v>1</v>
      </c>
    </row>
    <row r="146" spans="1:19" s="5" customFormat="1" ht="42" customHeight="1">
      <c r="A146" s="2">
        <v>144</v>
      </c>
      <c r="B146" s="12">
        <v>2544640539</v>
      </c>
      <c r="C146" s="21">
        <v>250371509206</v>
      </c>
      <c r="D146" s="17">
        <f t="shared" si="5"/>
        <v>250213</v>
      </c>
      <c r="E146" s="22" t="s">
        <v>942</v>
      </c>
      <c r="F146" s="12" t="s">
        <v>29</v>
      </c>
      <c r="G146" s="20" t="s">
        <v>15</v>
      </c>
      <c r="H146" s="19" t="s">
        <v>34</v>
      </c>
      <c r="I146" s="16" t="s">
        <v>4</v>
      </c>
      <c r="J146" s="16" t="s">
        <v>2</v>
      </c>
      <c r="K146" s="16" t="s">
        <v>5</v>
      </c>
      <c r="L146" s="16" t="s">
        <v>3</v>
      </c>
      <c r="M146" s="16" t="s">
        <v>1516</v>
      </c>
      <c r="N146" s="16" t="s">
        <v>4</v>
      </c>
      <c r="O146" s="16" t="s">
        <v>1516</v>
      </c>
      <c r="P146" s="11" t="s">
        <v>1516</v>
      </c>
      <c r="Q146" s="4">
        <v>0</v>
      </c>
      <c r="R146" s="5" t="s">
        <v>942</v>
      </c>
      <c r="S146" s="5" t="b">
        <f t="shared" si="4"/>
        <v>1</v>
      </c>
    </row>
    <row r="147" spans="1:19" s="5" customFormat="1" ht="42" customHeight="1">
      <c r="A147" s="2">
        <v>145</v>
      </c>
      <c r="B147" s="12">
        <v>2544640712</v>
      </c>
      <c r="C147" s="21">
        <v>250371509208</v>
      </c>
      <c r="D147" s="17">
        <f t="shared" si="5"/>
        <v>250214</v>
      </c>
      <c r="E147" s="22" t="s">
        <v>943</v>
      </c>
      <c r="F147" s="12" t="s">
        <v>29</v>
      </c>
      <c r="G147" s="20" t="s">
        <v>15</v>
      </c>
      <c r="H147" s="19" t="s">
        <v>34</v>
      </c>
      <c r="I147" s="16" t="s">
        <v>3</v>
      </c>
      <c r="J147" s="16" t="s">
        <v>2</v>
      </c>
      <c r="K147" s="16" t="s">
        <v>3</v>
      </c>
      <c r="L147" s="16" t="s">
        <v>3</v>
      </c>
      <c r="M147" s="16" t="s">
        <v>3</v>
      </c>
      <c r="N147" s="16" t="s">
        <v>3</v>
      </c>
      <c r="O147" s="16" t="s">
        <v>8</v>
      </c>
      <c r="P147" s="11" t="s">
        <v>17</v>
      </c>
      <c r="Q147" s="4">
        <v>8.2777777777777786</v>
      </c>
      <c r="R147" s="5" t="s">
        <v>943</v>
      </c>
      <c r="S147" s="5" t="b">
        <f t="shared" si="4"/>
        <v>1</v>
      </c>
    </row>
    <row r="148" spans="1:19" s="5" customFormat="1" ht="42" customHeight="1">
      <c r="A148" s="2">
        <v>146</v>
      </c>
      <c r="B148" s="12">
        <v>2544640791</v>
      </c>
      <c r="C148" s="21">
        <v>250371509209</v>
      </c>
      <c r="D148" s="17">
        <f t="shared" si="5"/>
        <v>250215</v>
      </c>
      <c r="E148" s="22" t="s">
        <v>944</v>
      </c>
      <c r="F148" s="12" t="s">
        <v>29</v>
      </c>
      <c r="G148" s="20" t="s">
        <v>15</v>
      </c>
      <c r="H148" s="19" t="s">
        <v>34</v>
      </c>
      <c r="I148" s="16" t="s">
        <v>3</v>
      </c>
      <c r="J148" s="16" t="s">
        <v>3</v>
      </c>
      <c r="K148" s="16" t="s">
        <v>4</v>
      </c>
      <c r="L148" s="16" t="s">
        <v>3</v>
      </c>
      <c r="M148" s="16" t="s">
        <v>4</v>
      </c>
      <c r="N148" s="16" t="s">
        <v>2</v>
      </c>
      <c r="O148" s="16" t="s">
        <v>8</v>
      </c>
      <c r="P148" s="11" t="s">
        <v>17</v>
      </c>
      <c r="Q148" s="4">
        <v>8</v>
      </c>
      <c r="R148" s="5" t="s">
        <v>944</v>
      </c>
      <c r="S148" s="5" t="b">
        <f t="shared" si="4"/>
        <v>1</v>
      </c>
    </row>
    <row r="149" spans="1:19" s="5" customFormat="1" ht="42" customHeight="1">
      <c r="A149" s="2">
        <v>147</v>
      </c>
      <c r="B149" s="12">
        <v>2544640483</v>
      </c>
      <c r="C149" s="21">
        <v>250371509211</v>
      </c>
      <c r="D149" s="17">
        <f t="shared" si="5"/>
        <v>250216</v>
      </c>
      <c r="E149" s="22" t="s">
        <v>945</v>
      </c>
      <c r="F149" s="12" t="s">
        <v>29</v>
      </c>
      <c r="G149" s="20" t="s">
        <v>15</v>
      </c>
      <c r="H149" s="19" t="s">
        <v>34</v>
      </c>
      <c r="I149" s="16" t="s">
        <v>1517</v>
      </c>
      <c r="J149" s="16" t="s">
        <v>8</v>
      </c>
      <c r="K149" s="16" t="s">
        <v>3</v>
      </c>
      <c r="L149" s="16" t="s">
        <v>2</v>
      </c>
      <c r="M149" s="16" t="s">
        <v>2</v>
      </c>
      <c r="N149" s="16" t="s">
        <v>4</v>
      </c>
      <c r="O149" s="16" t="s">
        <v>8</v>
      </c>
      <c r="P149" s="11" t="s">
        <v>1517</v>
      </c>
      <c r="Q149" s="4">
        <v>0</v>
      </c>
      <c r="R149" s="5" t="s">
        <v>945</v>
      </c>
      <c r="S149" s="5" t="b">
        <f t="shared" si="4"/>
        <v>1</v>
      </c>
    </row>
    <row r="150" spans="1:19" s="5" customFormat="1" ht="42" customHeight="1">
      <c r="A150" s="2">
        <v>148</v>
      </c>
      <c r="B150" s="12">
        <v>2544641064</v>
      </c>
      <c r="C150" s="21">
        <v>250371509213</v>
      </c>
      <c r="D150" s="17">
        <f t="shared" si="5"/>
        <v>250217</v>
      </c>
      <c r="E150" s="22" t="s">
        <v>946</v>
      </c>
      <c r="F150" s="12" t="s">
        <v>29</v>
      </c>
      <c r="G150" s="20" t="s">
        <v>15</v>
      </c>
      <c r="H150" s="19" t="s">
        <v>34</v>
      </c>
      <c r="I150" s="16" t="s">
        <v>3</v>
      </c>
      <c r="J150" s="16" t="s">
        <v>8</v>
      </c>
      <c r="K150" s="16" t="s">
        <v>3</v>
      </c>
      <c r="L150" s="16" t="s">
        <v>2</v>
      </c>
      <c r="M150" s="16" t="s">
        <v>3</v>
      </c>
      <c r="N150" s="16" t="s">
        <v>3</v>
      </c>
      <c r="O150" s="16" t="s">
        <v>8</v>
      </c>
      <c r="P150" s="11" t="s">
        <v>17</v>
      </c>
      <c r="Q150" s="4">
        <v>8.6111111111111107</v>
      </c>
      <c r="R150" s="5" t="s">
        <v>946</v>
      </c>
      <c r="S150" s="5" t="b">
        <f t="shared" si="4"/>
        <v>1</v>
      </c>
    </row>
    <row r="151" spans="1:19" s="5" customFormat="1" ht="42" customHeight="1">
      <c r="A151" s="2">
        <v>149</v>
      </c>
      <c r="B151" s="12">
        <v>2544640301</v>
      </c>
      <c r="C151" s="21">
        <v>250371509215</v>
      </c>
      <c r="D151" s="17">
        <f t="shared" si="5"/>
        <v>250218</v>
      </c>
      <c r="E151" s="22" t="s">
        <v>947</v>
      </c>
      <c r="F151" s="12" t="s">
        <v>29</v>
      </c>
      <c r="G151" s="20" t="s">
        <v>15</v>
      </c>
      <c r="H151" s="19" t="s">
        <v>34</v>
      </c>
      <c r="I151" s="16" t="s">
        <v>2</v>
      </c>
      <c r="J151" s="16" t="s">
        <v>3</v>
      </c>
      <c r="K151" s="16" t="s">
        <v>4</v>
      </c>
      <c r="L151" s="16" t="s">
        <v>2</v>
      </c>
      <c r="M151" s="16" t="s">
        <v>2</v>
      </c>
      <c r="N151" s="16" t="s">
        <v>3</v>
      </c>
      <c r="O151" s="16" t="s">
        <v>8</v>
      </c>
      <c r="P151" s="11" t="s">
        <v>17</v>
      </c>
      <c r="Q151" s="4">
        <v>8.2777777777777786</v>
      </c>
      <c r="R151" s="5" t="s">
        <v>947</v>
      </c>
      <c r="S151" s="5" t="b">
        <f t="shared" si="4"/>
        <v>1</v>
      </c>
    </row>
    <row r="152" spans="1:19" s="5" customFormat="1" ht="42" customHeight="1">
      <c r="A152" s="2">
        <v>150</v>
      </c>
      <c r="B152" s="12">
        <v>2544640901</v>
      </c>
      <c r="C152" s="21">
        <v>250371509216</v>
      </c>
      <c r="D152" s="17">
        <f t="shared" si="5"/>
        <v>250219</v>
      </c>
      <c r="E152" s="22" t="s">
        <v>948</v>
      </c>
      <c r="F152" s="12" t="s">
        <v>29</v>
      </c>
      <c r="G152" s="20" t="s">
        <v>15</v>
      </c>
      <c r="H152" s="19" t="s">
        <v>34</v>
      </c>
      <c r="I152" s="16" t="s">
        <v>3</v>
      </c>
      <c r="J152" s="16" t="s">
        <v>5</v>
      </c>
      <c r="K152" s="16" t="s">
        <v>4</v>
      </c>
      <c r="L152" s="16" t="s">
        <v>3</v>
      </c>
      <c r="M152" s="16" t="s">
        <v>8</v>
      </c>
      <c r="N152" s="16" t="s">
        <v>3</v>
      </c>
      <c r="O152" s="16" t="s">
        <v>8</v>
      </c>
      <c r="P152" s="11" t="s">
        <v>17</v>
      </c>
      <c r="Q152" s="4">
        <v>7.666666666666667</v>
      </c>
      <c r="R152" s="5" t="s">
        <v>948</v>
      </c>
      <c r="S152" s="5" t="b">
        <f t="shared" si="4"/>
        <v>1</v>
      </c>
    </row>
    <row r="153" spans="1:19" s="5" customFormat="1" ht="42" customHeight="1">
      <c r="A153" s="2">
        <v>151</v>
      </c>
      <c r="B153" s="12">
        <v>2544641111</v>
      </c>
      <c r="C153" s="21">
        <v>250371509218</v>
      </c>
      <c r="D153" s="17">
        <f t="shared" si="5"/>
        <v>250220</v>
      </c>
      <c r="E153" s="22" t="s">
        <v>949</v>
      </c>
      <c r="F153" s="12" t="s">
        <v>29</v>
      </c>
      <c r="G153" s="20" t="s">
        <v>15</v>
      </c>
      <c r="H153" s="19" t="s">
        <v>34</v>
      </c>
      <c r="I153" s="16" t="s">
        <v>4</v>
      </c>
      <c r="J153" s="16" t="s">
        <v>3</v>
      </c>
      <c r="K153" s="16" t="s">
        <v>4</v>
      </c>
      <c r="L153" s="16" t="s">
        <v>2</v>
      </c>
      <c r="M153" s="16" t="s">
        <v>2</v>
      </c>
      <c r="N153" s="16" t="s">
        <v>3</v>
      </c>
      <c r="O153" s="16" t="s">
        <v>8</v>
      </c>
      <c r="P153" s="11" t="s">
        <v>17</v>
      </c>
      <c r="Q153" s="4">
        <v>7.9444444444444446</v>
      </c>
      <c r="R153" s="5" t="s">
        <v>949</v>
      </c>
      <c r="S153" s="5" t="b">
        <f t="shared" si="4"/>
        <v>1</v>
      </c>
    </row>
    <row r="154" spans="1:19" s="5" customFormat="1" ht="42" customHeight="1">
      <c r="A154" s="2">
        <v>152</v>
      </c>
      <c r="B154" s="12">
        <v>2544640723</v>
      </c>
      <c r="C154" s="21">
        <v>250371509221</v>
      </c>
      <c r="D154" s="17">
        <f t="shared" si="5"/>
        <v>250221</v>
      </c>
      <c r="E154" s="22" t="s">
        <v>950</v>
      </c>
      <c r="F154" s="12" t="s">
        <v>29</v>
      </c>
      <c r="G154" s="20" t="s">
        <v>15</v>
      </c>
      <c r="H154" s="19" t="s">
        <v>34</v>
      </c>
      <c r="I154" s="16" t="s">
        <v>3</v>
      </c>
      <c r="J154" s="16" t="s">
        <v>8</v>
      </c>
      <c r="K154" s="16" t="s">
        <v>3</v>
      </c>
      <c r="L154" s="16" t="s">
        <v>3</v>
      </c>
      <c r="M154" s="16" t="s">
        <v>4</v>
      </c>
      <c r="N154" s="16" t="s">
        <v>1517</v>
      </c>
      <c r="O154" s="16" t="s">
        <v>2</v>
      </c>
      <c r="P154" s="11" t="s">
        <v>1517</v>
      </c>
      <c r="Q154" s="4">
        <v>0</v>
      </c>
      <c r="R154" s="5" t="s">
        <v>950</v>
      </c>
      <c r="S154" s="5" t="b">
        <f t="shared" si="4"/>
        <v>1</v>
      </c>
    </row>
    <row r="155" spans="1:19" s="5" customFormat="1" ht="42" customHeight="1">
      <c r="A155" s="2">
        <v>153</v>
      </c>
      <c r="B155" s="12">
        <v>2544640672</v>
      </c>
      <c r="C155" s="21">
        <v>250371509222</v>
      </c>
      <c r="D155" s="17">
        <f t="shared" si="5"/>
        <v>250222</v>
      </c>
      <c r="E155" s="22" t="s">
        <v>951</v>
      </c>
      <c r="F155" s="12" t="s">
        <v>29</v>
      </c>
      <c r="G155" s="20" t="s">
        <v>15</v>
      </c>
      <c r="H155" s="19" t="s">
        <v>34</v>
      </c>
      <c r="I155" s="16" t="s">
        <v>3</v>
      </c>
      <c r="J155" s="16" t="s">
        <v>8</v>
      </c>
      <c r="K155" s="16" t="s">
        <v>4</v>
      </c>
      <c r="L155" s="16" t="s">
        <v>3</v>
      </c>
      <c r="M155" s="16" t="s">
        <v>2</v>
      </c>
      <c r="N155" s="16" t="s">
        <v>4</v>
      </c>
      <c r="O155" s="16" t="s">
        <v>8</v>
      </c>
      <c r="P155" s="11" t="s">
        <v>17</v>
      </c>
      <c r="Q155" s="4">
        <v>8.1111111111111107</v>
      </c>
      <c r="R155" s="5" t="s">
        <v>951</v>
      </c>
      <c r="S155" s="5" t="b">
        <f t="shared" si="4"/>
        <v>1</v>
      </c>
    </row>
    <row r="156" spans="1:19" s="5" customFormat="1" ht="42" customHeight="1">
      <c r="A156" s="2">
        <v>154</v>
      </c>
      <c r="B156" s="12">
        <v>2544641086</v>
      </c>
      <c r="C156" s="21">
        <v>250371509223</v>
      </c>
      <c r="D156" s="17">
        <f t="shared" si="5"/>
        <v>250223</v>
      </c>
      <c r="E156" s="22" t="s">
        <v>952</v>
      </c>
      <c r="F156" s="12" t="s">
        <v>29</v>
      </c>
      <c r="G156" s="20" t="s">
        <v>15</v>
      </c>
      <c r="H156" s="19" t="s">
        <v>34</v>
      </c>
      <c r="I156" s="16" t="s">
        <v>3</v>
      </c>
      <c r="J156" s="16" t="s">
        <v>2</v>
      </c>
      <c r="K156" s="16" t="s">
        <v>4</v>
      </c>
      <c r="L156" s="16" t="s">
        <v>3</v>
      </c>
      <c r="M156" s="16" t="s">
        <v>4</v>
      </c>
      <c r="N156" s="16" t="s">
        <v>3</v>
      </c>
      <c r="O156" s="16" t="s">
        <v>8</v>
      </c>
      <c r="P156" s="11" t="s">
        <v>17</v>
      </c>
      <c r="Q156" s="4">
        <v>8</v>
      </c>
      <c r="R156" s="5" t="s">
        <v>952</v>
      </c>
      <c r="S156" s="5" t="b">
        <f t="shared" si="4"/>
        <v>1</v>
      </c>
    </row>
    <row r="157" spans="1:19" s="5" customFormat="1" ht="42" customHeight="1">
      <c r="A157" s="2">
        <v>155</v>
      </c>
      <c r="B157" s="12">
        <v>2544640931</v>
      </c>
      <c r="C157" s="21">
        <v>250371509224</v>
      </c>
      <c r="D157" s="17">
        <f t="shared" si="5"/>
        <v>250224</v>
      </c>
      <c r="E157" s="22" t="s">
        <v>953</v>
      </c>
      <c r="F157" s="12" t="s">
        <v>29</v>
      </c>
      <c r="G157" s="20" t="s">
        <v>15</v>
      </c>
      <c r="H157" s="19" t="s">
        <v>34</v>
      </c>
      <c r="I157" s="16" t="s">
        <v>3</v>
      </c>
      <c r="J157" s="16" t="s">
        <v>2</v>
      </c>
      <c r="K157" s="16" t="s">
        <v>3</v>
      </c>
      <c r="L157" s="16" t="s">
        <v>3</v>
      </c>
      <c r="M157" s="16" t="s">
        <v>8</v>
      </c>
      <c r="N157" s="16" t="s">
        <v>4</v>
      </c>
      <c r="O157" s="16" t="s">
        <v>8</v>
      </c>
      <c r="P157" s="11" t="s">
        <v>17</v>
      </c>
      <c r="Q157" s="4">
        <v>8.2222222222222214</v>
      </c>
      <c r="R157" s="5" t="s">
        <v>953</v>
      </c>
      <c r="S157" s="5" t="b">
        <f t="shared" si="4"/>
        <v>1</v>
      </c>
    </row>
    <row r="158" spans="1:19" s="5" customFormat="1" ht="42" customHeight="1">
      <c r="A158" s="2">
        <v>156</v>
      </c>
      <c r="B158" s="12">
        <v>2544640448</v>
      </c>
      <c r="C158" s="21">
        <v>250371509225</v>
      </c>
      <c r="D158" s="17">
        <f t="shared" si="5"/>
        <v>250225</v>
      </c>
      <c r="E158" s="22" t="s">
        <v>954</v>
      </c>
      <c r="F158" s="12" t="s">
        <v>29</v>
      </c>
      <c r="G158" s="20" t="s">
        <v>15</v>
      </c>
      <c r="H158" s="19" t="s">
        <v>34</v>
      </c>
      <c r="I158" s="16" t="s">
        <v>3</v>
      </c>
      <c r="J158" s="16" t="s">
        <v>8</v>
      </c>
      <c r="K158" s="16" t="s">
        <v>3</v>
      </c>
      <c r="L158" s="16" t="s">
        <v>3</v>
      </c>
      <c r="M158" s="16" t="s">
        <v>8</v>
      </c>
      <c r="N158" s="16" t="s">
        <v>3</v>
      </c>
      <c r="O158" s="16" t="s">
        <v>2</v>
      </c>
      <c r="P158" s="11" t="s">
        <v>17</v>
      </c>
      <c r="Q158" s="4">
        <v>8.5</v>
      </c>
      <c r="R158" s="5" t="s">
        <v>954</v>
      </c>
      <c r="S158" s="5" t="b">
        <f t="shared" si="4"/>
        <v>1</v>
      </c>
    </row>
    <row r="159" spans="1:19" s="5" customFormat="1" ht="42" customHeight="1">
      <c r="A159" s="2">
        <v>157</v>
      </c>
      <c r="B159" s="12">
        <v>2544640263</v>
      </c>
      <c r="C159" s="21">
        <v>250371509226</v>
      </c>
      <c r="D159" s="17">
        <f t="shared" si="5"/>
        <v>250226</v>
      </c>
      <c r="E159" s="22" t="s">
        <v>955</v>
      </c>
      <c r="F159" s="12" t="s">
        <v>29</v>
      </c>
      <c r="G159" s="20" t="s">
        <v>15</v>
      </c>
      <c r="H159" s="19" t="s">
        <v>34</v>
      </c>
      <c r="I159" s="16" t="s">
        <v>3</v>
      </c>
      <c r="J159" s="16" t="s">
        <v>8</v>
      </c>
      <c r="K159" s="16" t="s">
        <v>3</v>
      </c>
      <c r="L159" s="16" t="s">
        <v>8</v>
      </c>
      <c r="M159" s="16" t="s">
        <v>3</v>
      </c>
      <c r="N159" s="16" t="s">
        <v>2</v>
      </c>
      <c r="O159" s="16" t="s">
        <v>8</v>
      </c>
      <c r="P159" s="11" t="s">
        <v>17</v>
      </c>
      <c r="Q159" s="4">
        <v>8.9444444444444446</v>
      </c>
      <c r="R159" s="5" t="s">
        <v>955</v>
      </c>
      <c r="S159" s="5" t="b">
        <f t="shared" si="4"/>
        <v>1</v>
      </c>
    </row>
    <row r="160" spans="1:19" s="5" customFormat="1" ht="42" customHeight="1">
      <c r="A160" s="2">
        <v>158</v>
      </c>
      <c r="B160" s="12">
        <v>2544640113</v>
      </c>
      <c r="C160" s="21">
        <v>250371509227</v>
      </c>
      <c r="D160" s="17">
        <f t="shared" si="5"/>
        <v>250227</v>
      </c>
      <c r="E160" s="22" t="s">
        <v>956</v>
      </c>
      <c r="F160" s="12" t="s">
        <v>29</v>
      </c>
      <c r="G160" s="20" t="s">
        <v>15</v>
      </c>
      <c r="H160" s="19" t="s">
        <v>34</v>
      </c>
      <c r="I160" s="16" t="s">
        <v>3</v>
      </c>
      <c r="J160" s="16" t="s">
        <v>4</v>
      </c>
      <c r="K160" s="16" t="s">
        <v>3</v>
      </c>
      <c r="L160" s="16" t="s">
        <v>3</v>
      </c>
      <c r="M160" s="16" t="s">
        <v>2</v>
      </c>
      <c r="N160" s="16" t="s">
        <v>3</v>
      </c>
      <c r="O160" s="16" t="s">
        <v>2</v>
      </c>
      <c r="P160" s="11" t="s">
        <v>17</v>
      </c>
      <c r="Q160" s="4">
        <v>7.9444444444444446</v>
      </c>
      <c r="R160" s="5" t="s">
        <v>956</v>
      </c>
      <c r="S160" s="5" t="b">
        <f t="shared" si="4"/>
        <v>1</v>
      </c>
    </row>
    <row r="161" spans="1:19" s="5" customFormat="1" ht="42" customHeight="1">
      <c r="A161" s="2">
        <v>159</v>
      </c>
      <c r="B161" s="12">
        <v>2544640733</v>
      </c>
      <c r="C161" s="21">
        <v>250371509228</v>
      </c>
      <c r="D161" s="17">
        <f t="shared" si="5"/>
        <v>250228</v>
      </c>
      <c r="E161" s="22" t="s">
        <v>957</v>
      </c>
      <c r="F161" s="12" t="s">
        <v>29</v>
      </c>
      <c r="G161" s="20" t="s">
        <v>15</v>
      </c>
      <c r="H161" s="19" t="s">
        <v>34</v>
      </c>
      <c r="I161" s="16" t="s">
        <v>2</v>
      </c>
      <c r="J161" s="16" t="s">
        <v>8</v>
      </c>
      <c r="K161" s="16" t="s">
        <v>2</v>
      </c>
      <c r="L161" s="16" t="s">
        <v>8</v>
      </c>
      <c r="M161" s="16" t="s">
        <v>8</v>
      </c>
      <c r="N161" s="16" t="s">
        <v>8</v>
      </c>
      <c r="O161" s="16" t="s">
        <v>8</v>
      </c>
      <c r="P161" s="11" t="s">
        <v>17</v>
      </c>
      <c r="Q161" s="4">
        <v>9.6111111111111107</v>
      </c>
      <c r="R161" s="5" t="s">
        <v>957</v>
      </c>
      <c r="S161" s="5" t="b">
        <f t="shared" si="4"/>
        <v>1</v>
      </c>
    </row>
    <row r="162" spans="1:19" s="5" customFormat="1" ht="42" customHeight="1">
      <c r="A162" s="2">
        <v>160</v>
      </c>
      <c r="B162" s="12">
        <v>2544640631</v>
      </c>
      <c r="C162" s="21">
        <v>250371509230</v>
      </c>
      <c r="D162" s="17">
        <f t="shared" si="5"/>
        <v>250229</v>
      </c>
      <c r="E162" s="22" t="s">
        <v>958</v>
      </c>
      <c r="F162" s="12" t="s">
        <v>29</v>
      </c>
      <c r="G162" s="20" t="s">
        <v>15</v>
      </c>
      <c r="H162" s="19" t="s">
        <v>34</v>
      </c>
      <c r="I162" s="16" t="s">
        <v>4</v>
      </c>
      <c r="J162" s="16" t="s">
        <v>4</v>
      </c>
      <c r="K162" s="16" t="s">
        <v>4</v>
      </c>
      <c r="L162" s="16" t="s">
        <v>4</v>
      </c>
      <c r="M162" s="16" t="s">
        <v>3</v>
      </c>
      <c r="N162" s="16" t="s">
        <v>6</v>
      </c>
      <c r="O162" s="16" t="s">
        <v>2</v>
      </c>
      <c r="P162" s="11" t="s">
        <v>17</v>
      </c>
      <c r="Q162" s="4">
        <v>6.833333333333333</v>
      </c>
      <c r="R162" s="5" t="s">
        <v>958</v>
      </c>
      <c r="S162" s="5" t="b">
        <f t="shared" si="4"/>
        <v>1</v>
      </c>
    </row>
    <row r="163" spans="1:19" s="5" customFormat="1" ht="42" customHeight="1">
      <c r="A163" s="2">
        <v>161</v>
      </c>
      <c r="B163" s="12">
        <v>2544640752</v>
      </c>
      <c r="C163" s="21">
        <v>250371509231</v>
      </c>
      <c r="D163" s="17">
        <f t="shared" si="5"/>
        <v>250230</v>
      </c>
      <c r="E163" s="22" t="s">
        <v>959</v>
      </c>
      <c r="F163" s="12" t="s">
        <v>29</v>
      </c>
      <c r="G163" s="20" t="s">
        <v>15</v>
      </c>
      <c r="H163" s="19" t="s">
        <v>34</v>
      </c>
      <c r="I163" s="16" t="s">
        <v>2</v>
      </c>
      <c r="J163" s="16" t="s">
        <v>8</v>
      </c>
      <c r="K163" s="16" t="s">
        <v>2</v>
      </c>
      <c r="L163" s="16" t="s">
        <v>8</v>
      </c>
      <c r="M163" s="16" t="s">
        <v>8</v>
      </c>
      <c r="N163" s="16" t="s">
        <v>3</v>
      </c>
      <c r="O163" s="16" t="s">
        <v>8</v>
      </c>
      <c r="P163" s="11" t="s">
        <v>17</v>
      </c>
      <c r="Q163" s="4">
        <v>9.2777777777777786</v>
      </c>
      <c r="R163" s="5" t="s">
        <v>959</v>
      </c>
      <c r="S163" s="5" t="b">
        <f t="shared" si="4"/>
        <v>1</v>
      </c>
    </row>
    <row r="164" spans="1:19" s="5" customFormat="1" ht="42" customHeight="1">
      <c r="A164" s="2">
        <v>162</v>
      </c>
      <c r="B164" s="12">
        <v>2544640743</v>
      </c>
      <c r="C164" s="21">
        <v>250371509232</v>
      </c>
      <c r="D164" s="17">
        <f t="shared" si="5"/>
        <v>250231</v>
      </c>
      <c r="E164" s="22" t="s">
        <v>960</v>
      </c>
      <c r="F164" s="12" t="s">
        <v>29</v>
      </c>
      <c r="G164" s="20" t="s">
        <v>15</v>
      </c>
      <c r="H164" s="19" t="s">
        <v>34</v>
      </c>
      <c r="I164" s="16" t="s">
        <v>1516</v>
      </c>
      <c r="J164" s="16" t="s">
        <v>1516</v>
      </c>
      <c r="K164" s="16" t="s">
        <v>1516</v>
      </c>
      <c r="L164" s="16" t="s">
        <v>1516</v>
      </c>
      <c r="M164" s="16" t="s">
        <v>1516</v>
      </c>
      <c r="N164" s="16" t="s">
        <v>1516</v>
      </c>
      <c r="O164" s="16" t="s">
        <v>1516</v>
      </c>
      <c r="P164" s="11" t="s">
        <v>1516</v>
      </c>
      <c r="Q164" s="4">
        <v>0</v>
      </c>
      <c r="R164" s="5" t="s">
        <v>960</v>
      </c>
      <c r="S164" s="5" t="b">
        <f t="shared" si="4"/>
        <v>1</v>
      </c>
    </row>
    <row r="165" spans="1:19" s="5" customFormat="1" ht="42" customHeight="1">
      <c r="A165" s="2">
        <v>163</v>
      </c>
      <c r="B165" s="12">
        <v>2544640635</v>
      </c>
      <c r="C165" s="21">
        <v>250371509233</v>
      </c>
      <c r="D165" s="17">
        <f t="shared" si="5"/>
        <v>250232</v>
      </c>
      <c r="E165" s="22" t="s">
        <v>961</v>
      </c>
      <c r="F165" s="12" t="s">
        <v>29</v>
      </c>
      <c r="G165" s="20" t="s">
        <v>15</v>
      </c>
      <c r="H165" s="19" t="s">
        <v>34</v>
      </c>
      <c r="I165" s="16" t="s">
        <v>4</v>
      </c>
      <c r="J165" s="16" t="s">
        <v>3</v>
      </c>
      <c r="K165" s="16" t="s">
        <v>2</v>
      </c>
      <c r="L165" s="16" t="s">
        <v>8</v>
      </c>
      <c r="M165" s="16" t="s">
        <v>8</v>
      </c>
      <c r="N165" s="16" t="s">
        <v>3</v>
      </c>
      <c r="O165" s="16" t="s">
        <v>8</v>
      </c>
      <c r="P165" s="11" t="s">
        <v>17</v>
      </c>
      <c r="Q165" s="4">
        <v>8.6111111111111107</v>
      </c>
      <c r="R165" s="5" t="s">
        <v>961</v>
      </c>
      <c r="S165" s="5" t="b">
        <f t="shared" si="4"/>
        <v>1</v>
      </c>
    </row>
    <row r="166" spans="1:19" s="5" customFormat="1" ht="42" customHeight="1">
      <c r="A166" s="2">
        <v>164</v>
      </c>
      <c r="B166" s="12">
        <v>2544640455</v>
      </c>
      <c r="C166" s="21">
        <v>250371509234</v>
      </c>
      <c r="D166" s="17">
        <f t="shared" si="5"/>
        <v>250233</v>
      </c>
      <c r="E166" s="22" t="s">
        <v>962</v>
      </c>
      <c r="F166" s="12" t="s">
        <v>29</v>
      </c>
      <c r="G166" s="20" t="s">
        <v>15</v>
      </c>
      <c r="H166" s="19" t="s">
        <v>34</v>
      </c>
      <c r="I166" s="16" t="s">
        <v>3</v>
      </c>
      <c r="J166" s="16" t="s">
        <v>2</v>
      </c>
      <c r="K166" s="16" t="s">
        <v>5</v>
      </c>
      <c r="L166" s="16" t="s">
        <v>3</v>
      </c>
      <c r="M166" s="16" t="s">
        <v>8</v>
      </c>
      <c r="N166" s="16" t="s">
        <v>6</v>
      </c>
      <c r="O166" s="16" t="s">
        <v>3</v>
      </c>
      <c r="P166" s="11" t="s">
        <v>17</v>
      </c>
      <c r="Q166" s="4">
        <v>7.333333333333333</v>
      </c>
      <c r="R166" s="5" t="s">
        <v>962</v>
      </c>
      <c r="S166" s="5" t="b">
        <f t="shared" si="4"/>
        <v>1</v>
      </c>
    </row>
    <row r="167" spans="1:19" s="5" customFormat="1" ht="42" customHeight="1">
      <c r="A167" s="2">
        <v>165</v>
      </c>
      <c r="B167" s="12">
        <v>2544641123</v>
      </c>
      <c r="C167" s="21">
        <v>250371509235</v>
      </c>
      <c r="D167" s="17">
        <f t="shared" si="5"/>
        <v>250234</v>
      </c>
      <c r="E167" s="22" t="s">
        <v>963</v>
      </c>
      <c r="F167" s="12" t="s">
        <v>29</v>
      </c>
      <c r="G167" s="20" t="s">
        <v>15</v>
      </c>
      <c r="H167" s="19" t="s">
        <v>34</v>
      </c>
      <c r="I167" s="16" t="s">
        <v>4</v>
      </c>
      <c r="J167" s="16" t="s">
        <v>2</v>
      </c>
      <c r="K167" s="16" t="s">
        <v>4</v>
      </c>
      <c r="L167" s="16" t="s">
        <v>4</v>
      </c>
      <c r="M167" s="16" t="s">
        <v>3</v>
      </c>
      <c r="N167" s="16" t="s">
        <v>6</v>
      </c>
      <c r="O167" s="16" t="s">
        <v>3</v>
      </c>
      <c r="P167" s="11" t="s">
        <v>17</v>
      </c>
      <c r="Q167" s="4">
        <v>7.1111111111111107</v>
      </c>
      <c r="R167" s="5" t="s">
        <v>963</v>
      </c>
      <c r="S167" s="5" t="b">
        <f t="shared" si="4"/>
        <v>1</v>
      </c>
    </row>
    <row r="168" spans="1:19" s="5" customFormat="1" ht="42" customHeight="1">
      <c r="A168" s="2">
        <v>166</v>
      </c>
      <c r="B168" s="12">
        <v>2544640715</v>
      </c>
      <c r="C168" s="21">
        <v>250371509237</v>
      </c>
      <c r="D168" s="17">
        <f t="shared" si="5"/>
        <v>250235</v>
      </c>
      <c r="E168" s="22" t="s">
        <v>964</v>
      </c>
      <c r="F168" s="12" t="s">
        <v>29</v>
      </c>
      <c r="G168" s="20" t="s">
        <v>15</v>
      </c>
      <c r="H168" s="19" t="s">
        <v>34</v>
      </c>
      <c r="I168" s="16" t="s">
        <v>4</v>
      </c>
      <c r="J168" s="16" t="s">
        <v>3</v>
      </c>
      <c r="K168" s="16" t="s">
        <v>4</v>
      </c>
      <c r="L168" s="16" t="s">
        <v>4</v>
      </c>
      <c r="M168" s="16" t="s">
        <v>3</v>
      </c>
      <c r="N168" s="16" t="s">
        <v>4</v>
      </c>
      <c r="O168" s="16" t="s">
        <v>2</v>
      </c>
      <c r="P168" s="11" t="s">
        <v>17</v>
      </c>
      <c r="Q168" s="4">
        <v>7.333333333333333</v>
      </c>
      <c r="R168" s="5" t="s">
        <v>964</v>
      </c>
      <c r="S168" s="5" t="b">
        <f t="shared" si="4"/>
        <v>1</v>
      </c>
    </row>
    <row r="169" spans="1:19" s="5" customFormat="1" ht="42" customHeight="1">
      <c r="A169" s="2">
        <v>167</v>
      </c>
      <c r="B169" s="12">
        <v>2544641047</v>
      </c>
      <c r="C169" s="21">
        <v>250371509240</v>
      </c>
      <c r="D169" s="17">
        <f t="shared" si="5"/>
        <v>250236</v>
      </c>
      <c r="E169" s="22" t="s">
        <v>965</v>
      </c>
      <c r="F169" s="12" t="s">
        <v>29</v>
      </c>
      <c r="G169" s="20" t="s">
        <v>15</v>
      </c>
      <c r="H169" s="19" t="s">
        <v>34</v>
      </c>
      <c r="I169" s="16" t="s">
        <v>3</v>
      </c>
      <c r="J169" s="16" t="s">
        <v>4</v>
      </c>
      <c r="K169" s="16" t="s">
        <v>3</v>
      </c>
      <c r="L169" s="16" t="s">
        <v>2</v>
      </c>
      <c r="M169" s="16" t="s">
        <v>6</v>
      </c>
      <c r="N169" s="16" t="s">
        <v>7</v>
      </c>
      <c r="O169" s="16" t="s">
        <v>8</v>
      </c>
      <c r="P169" s="11" t="s">
        <v>7</v>
      </c>
      <c r="Q169" s="4">
        <v>0</v>
      </c>
      <c r="R169" s="5" t="s">
        <v>965</v>
      </c>
      <c r="S169" s="5" t="b">
        <f t="shared" si="4"/>
        <v>1</v>
      </c>
    </row>
    <row r="170" spans="1:19" s="5" customFormat="1" ht="42" customHeight="1">
      <c r="A170" s="2">
        <v>168</v>
      </c>
      <c r="B170" s="12">
        <v>2544640195</v>
      </c>
      <c r="C170" s="21">
        <v>250371509241</v>
      </c>
      <c r="D170" s="17">
        <f t="shared" si="5"/>
        <v>250237</v>
      </c>
      <c r="E170" s="22" t="s">
        <v>966</v>
      </c>
      <c r="F170" s="12" t="s">
        <v>29</v>
      </c>
      <c r="G170" s="20" t="s">
        <v>15</v>
      </c>
      <c r="H170" s="19" t="s">
        <v>34</v>
      </c>
      <c r="I170" s="16" t="s">
        <v>4</v>
      </c>
      <c r="J170" s="16" t="s">
        <v>4</v>
      </c>
      <c r="K170" s="16" t="s">
        <v>4</v>
      </c>
      <c r="L170" s="16" t="s">
        <v>4</v>
      </c>
      <c r="M170" s="16" t="s">
        <v>4</v>
      </c>
      <c r="N170" s="16" t="s">
        <v>7</v>
      </c>
      <c r="O170" s="16" t="s">
        <v>3</v>
      </c>
      <c r="P170" s="11" t="s">
        <v>7</v>
      </c>
      <c r="Q170" s="4">
        <v>0</v>
      </c>
      <c r="R170" s="5" t="s">
        <v>966</v>
      </c>
      <c r="S170" s="5" t="b">
        <f t="shared" si="4"/>
        <v>1</v>
      </c>
    </row>
    <row r="171" spans="1:19" s="5" customFormat="1" ht="42" customHeight="1">
      <c r="A171" s="2">
        <v>169</v>
      </c>
      <c r="B171" s="12">
        <v>2544640766</v>
      </c>
      <c r="C171" s="21">
        <v>250371509243</v>
      </c>
      <c r="D171" s="17">
        <f t="shared" si="5"/>
        <v>250238</v>
      </c>
      <c r="E171" s="22" t="s">
        <v>967</v>
      </c>
      <c r="F171" s="12" t="s">
        <v>29</v>
      </c>
      <c r="G171" s="20" t="s">
        <v>15</v>
      </c>
      <c r="H171" s="19" t="s">
        <v>34</v>
      </c>
      <c r="I171" s="16" t="s">
        <v>3</v>
      </c>
      <c r="J171" s="16" t="s">
        <v>8</v>
      </c>
      <c r="K171" s="16" t="s">
        <v>3</v>
      </c>
      <c r="L171" s="16" t="s">
        <v>2</v>
      </c>
      <c r="M171" s="16" t="s">
        <v>2</v>
      </c>
      <c r="N171" s="16" t="s">
        <v>3</v>
      </c>
      <c r="O171" s="16" t="s">
        <v>8</v>
      </c>
      <c r="P171" s="11" t="s">
        <v>17</v>
      </c>
      <c r="Q171" s="4">
        <v>8.6666666666666661</v>
      </c>
      <c r="R171" s="5" t="s">
        <v>967</v>
      </c>
      <c r="S171" s="5" t="b">
        <f t="shared" si="4"/>
        <v>1</v>
      </c>
    </row>
    <row r="172" spans="1:19" s="5" customFormat="1" ht="42" customHeight="1">
      <c r="A172" s="2">
        <v>170</v>
      </c>
      <c r="B172" s="12">
        <v>2544640257</v>
      </c>
      <c r="C172" s="21">
        <v>250371509244</v>
      </c>
      <c r="D172" s="17">
        <f t="shared" si="5"/>
        <v>250239</v>
      </c>
      <c r="E172" s="22" t="s">
        <v>968</v>
      </c>
      <c r="F172" s="12" t="s">
        <v>29</v>
      </c>
      <c r="G172" s="20" t="s">
        <v>15</v>
      </c>
      <c r="H172" s="19" t="s">
        <v>34</v>
      </c>
      <c r="I172" s="16" t="s">
        <v>2</v>
      </c>
      <c r="J172" s="16" t="s">
        <v>8</v>
      </c>
      <c r="K172" s="16" t="s">
        <v>2</v>
      </c>
      <c r="L172" s="16" t="s">
        <v>8</v>
      </c>
      <c r="M172" s="16" t="s">
        <v>2</v>
      </c>
      <c r="N172" s="16" t="s">
        <v>2</v>
      </c>
      <c r="O172" s="16" t="s">
        <v>8</v>
      </c>
      <c r="P172" s="11" t="s">
        <v>17</v>
      </c>
      <c r="Q172" s="4">
        <v>9.3888888888888893</v>
      </c>
      <c r="R172" s="5" t="s">
        <v>968</v>
      </c>
      <c r="S172" s="5" t="b">
        <f t="shared" si="4"/>
        <v>1</v>
      </c>
    </row>
    <row r="173" spans="1:19" s="5" customFormat="1" ht="42" customHeight="1">
      <c r="A173" s="2">
        <v>171</v>
      </c>
      <c r="B173" s="12">
        <v>2544640659</v>
      </c>
      <c r="C173" s="21">
        <v>250371509245</v>
      </c>
      <c r="D173" s="17">
        <f t="shared" si="5"/>
        <v>250240</v>
      </c>
      <c r="E173" s="22" t="s">
        <v>969</v>
      </c>
      <c r="F173" s="12" t="s">
        <v>29</v>
      </c>
      <c r="G173" s="20" t="s">
        <v>15</v>
      </c>
      <c r="H173" s="19" t="s">
        <v>34</v>
      </c>
      <c r="I173" s="16" t="s">
        <v>4</v>
      </c>
      <c r="J173" s="16" t="s">
        <v>3</v>
      </c>
      <c r="K173" s="16" t="s">
        <v>4</v>
      </c>
      <c r="L173" s="16" t="s">
        <v>4</v>
      </c>
      <c r="M173" s="16" t="s">
        <v>3</v>
      </c>
      <c r="N173" s="16" t="s">
        <v>4</v>
      </c>
      <c r="O173" s="16" t="s">
        <v>8</v>
      </c>
      <c r="P173" s="11" t="s">
        <v>17</v>
      </c>
      <c r="Q173" s="4">
        <v>7.3888888888888893</v>
      </c>
      <c r="R173" s="5" t="s">
        <v>969</v>
      </c>
      <c r="S173" s="5" t="b">
        <f t="shared" si="4"/>
        <v>1</v>
      </c>
    </row>
    <row r="174" spans="1:19" s="5" customFormat="1" ht="42" customHeight="1">
      <c r="A174" s="2">
        <v>172</v>
      </c>
      <c r="B174" s="12">
        <v>2544640236</v>
      </c>
      <c r="C174" s="21">
        <v>250371509247</v>
      </c>
      <c r="D174" s="17">
        <f t="shared" si="5"/>
        <v>250241</v>
      </c>
      <c r="E174" s="22" t="s">
        <v>970</v>
      </c>
      <c r="F174" s="12" t="s">
        <v>29</v>
      </c>
      <c r="G174" s="20" t="s">
        <v>15</v>
      </c>
      <c r="H174" s="19" t="s">
        <v>34</v>
      </c>
      <c r="I174" s="16" t="s">
        <v>6</v>
      </c>
      <c r="J174" s="16" t="s">
        <v>5</v>
      </c>
      <c r="K174" s="16" t="s">
        <v>6</v>
      </c>
      <c r="L174" s="16" t="s">
        <v>4</v>
      </c>
      <c r="M174" s="16" t="s">
        <v>2</v>
      </c>
      <c r="N174" s="16" t="s">
        <v>7</v>
      </c>
      <c r="O174" s="16" t="s">
        <v>8</v>
      </c>
      <c r="P174" s="11" t="s">
        <v>7</v>
      </c>
      <c r="Q174" s="4">
        <v>0</v>
      </c>
      <c r="R174" s="5" t="s">
        <v>970</v>
      </c>
      <c r="S174" s="5" t="b">
        <f t="shared" si="4"/>
        <v>1</v>
      </c>
    </row>
    <row r="175" spans="1:19" s="5" customFormat="1" ht="42" customHeight="1">
      <c r="A175" s="2">
        <v>173</v>
      </c>
      <c r="B175" s="12">
        <v>2544640071</v>
      </c>
      <c r="C175" s="21">
        <v>250371509253</v>
      </c>
      <c r="D175" s="17">
        <f t="shared" si="5"/>
        <v>250242</v>
      </c>
      <c r="E175" s="22" t="s">
        <v>971</v>
      </c>
      <c r="F175" s="12" t="s">
        <v>29</v>
      </c>
      <c r="G175" s="20" t="s">
        <v>15</v>
      </c>
      <c r="H175" s="19" t="s">
        <v>34</v>
      </c>
      <c r="I175" s="16" t="s">
        <v>3</v>
      </c>
      <c r="J175" s="16" t="s">
        <v>8</v>
      </c>
      <c r="K175" s="16" t="s">
        <v>4</v>
      </c>
      <c r="L175" s="16" t="s">
        <v>4</v>
      </c>
      <c r="M175" s="16" t="s">
        <v>4</v>
      </c>
      <c r="N175" s="16" t="s">
        <v>5</v>
      </c>
      <c r="O175" s="16" t="s">
        <v>4</v>
      </c>
      <c r="P175" s="11" t="s">
        <v>17</v>
      </c>
      <c r="Q175" s="4">
        <v>7.5</v>
      </c>
      <c r="R175" s="5" t="s">
        <v>971</v>
      </c>
      <c r="S175" s="5" t="b">
        <f t="shared" si="4"/>
        <v>1</v>
      </c>
    </row>
    <row r="176" spans="1:19" s="5" customFormat="1" ht="42" customHeight="1">
      <c r="A176" s="2">
        <v>174</v>
      </c>
      <c r="B176" s="12">
        <v>2544640275</v>
      </c>
      <c r="C176" s="21">
        <v>250371509255</v>
      </c>
      <c r="D176" s="17">
        <f t="shared" si="5"/>
        <v>250243</v>
      </c>
      <c r="E176" s="22" t="s">
        <v>972</v>
      </c>
      <c r="F176" s="12" t="s">
        <v>29</v>
      </c>
      <c r="G176" s="20" t="s">
        <v>15</v>
      </c>
      <c r="H176" s="19" t="s">
        <v>34</v>
      </c>
      <c r="I176" s="16" t="s">
        <v>3</v>
      </c>
      <c r="J176" s="16" t="s">
        <v>8</v>
      </c>
      <c r="K176" s="16" t="s">
        <v>4</v>
      </c>
      <c r="L176" s="16" t="s">
        <v>2</v>
      </c>
      <c r="M176" s="16" t="s">
        <v>2</v>
      </c>
      <c r="N176" s="16" t="s">
        <v>3</v>
      </c>
      <c r="O176" s="16" t="s">
        <v>2</v>
      </c>
      <c r="P176" s="11" t="s">
        <v>17</v>
      </c>
      <c r="Q176" s="4">
        <v>8.3888888888888893</v>
      </c>
      <c r="R176" s="5" t="s">
        <v>972</v>
      </c>
      <c r="S176" s="5" t="b">
        <f t="shared" si="4"/>
        <v>1</v>
      </c>
    </row>
    <row r="177" spans="1:19" s="5" customFormat="1" ht="42" customHeight="1">
      <c r="A177" s="2">
        <v>175</v>
      </c>
      <c r="B177" s="12">
        <v>2544641081</v>
      </c>
      <c r="C177" s="21">
        <v>250371509256</v>
      </c>
      <c r="D177" s="17">
        <f t="shared" si="5"/>
        <v>250244</v>
      </c>
      <c r="E177" s="22" t="s">
        <v>973</v>
      </c>
      <c r="F177" s="12" t="s">
        <v>29</v>
      </c>
      <c r="G177" s="20" t="s">
        <v>15</v>
      </c>
      <c r="H177" s="19" t="s">
        <v>34</v>
      </c>
      <c r="I177" s="16" t="s">
        <v>4</v>
      </c>
      <c r="J177" s="16" t="s">
        <v>4</v>
      </c>
      <c r="K177" s="16" t="s">
        <v>6</v>
      </c>
      <c r="L177" s="16" t="s">
        <v>4</v>
      </c>
      <c r="M177" s="16" t="s">
        <v>1516</v>
      </c>
      <c r="N177" s="16" t="s">
        <v>4</v>
      </c>
      <c r="O177" s="16" t="s">
        <v>1516</v>
      </c>
      <c r="P177" s="11" t="s">
        <v>1516</v>
      </c>
      <c r="Q177" s="4">
        <v>0</v>
      </c>
      <c r="R177" s="5" t="s">
        <v>973</v>
      </c>
      <c r="S177" s="5" t="b">
        <f t="shared" si="4"/>
        <v>1</v>
      </c>
    </row>
    <row r="178" spans="1:19" s="5" customFormat="1" ht="42" customHeight="1">
      <c r="A178" s="2">
        <v>176</v>
      </c>
      <c r="B178" s="12">
        <v>2544640395</v>
      </c>
      <c r="C178" s="21">
        <v>250371509257</v>
      </c>
      <c r="D178" s="17">
        <f t="shared" si="5"/>
        <v>250245</v>
      </c>
      <c r="E178" s="22" t="s">
        <v>974</v>
      </c>
      <c r="F178" s="12" t="s">
        <v>29</v>
      </c>
      <c r="G178" s="20" t="s">
        <v>15</v>
      </c>
      <c r="H178" s="19" t="s">
        <v>34</v>
      </c>
      <c r="I178" s="16" t="s">
        <v>4</v>
      </c>
      <c r="J178" s="16" t="s">
        <v>8</v>
      </c>
      <c r="K178" s="16" t="s">
        <v>5</v>
      </c>
      <c r="L178" s="16" t="s">
        <v>3</v>
      </c>
      <c r="M178" s="16" t="s">
        <v>2</v>
      </c>
      <c r="N178" s="16" t="s">
        <v>3</v>
      </c>
      <c r="O178" s="16" t="s">
        <v>8</v>
      </c>
      <c r="P178" s="11" t="s">
        <v>17</v>
      </c>
      <c r="Q178" s="4">
        <v>7.8888888888888893</v>
      </c>
      <c r="R178" s="5" t="s">
        <v>974</v>
      </c>
      <c r="S178" s="5" t="b">
        <f t="shared" si="4"/>
        <v>1</v>
      </c>
    </row>
    <row r="179" spans="1:19" s="5" customFormat="1" ht="42" customHeight="1">
      <c r="A179" s="2">
        <v>177</v>
      </c>
      <c r="B179" s="12">
        <v>2544640191</v>
      </c>
      <c r="C179" s="21">
        <v>250371509260</v>
      </c>
      <c r="D179" s="17">
        <f t="shared" si="5"/>
        <v>250246</v>
      </c>
      <c r="E179" s="22" t="s">
        <v>975</v>
      </c>
      <c r="F179" s="12" t="s">
        <v>29</v>
      </c>
      <c r="G179" s="20" t="s">
        <v>15</v>
      </c>
      <c r="H179" s="19" t="s">
        <v>34</v>
      </c>
      <c r="I179" s="16" t="s">
        <v>3</v>
      </c>
      <c r="J179" s="16" t="s">
        <v>8</v>
      </c>
      <c r="K179" s="16" t="s">
        <v>4</v>
      </c>
      <c r="L179" s="16" t="s">
        <v>8</v>
      </c>
      <c r="M179" s="16" t="s">
        <v>3</v>
      </c>
      <c r="N179" s="16" t="s">
        <v>2</v>
      </c>
      <c r="O179" s="16" t="s">
        <v>2</v>
      </c>
      <c r="P179" s="11" t="s">
        <v>17</v>
      </c>
      <c r="Q179" s="4">
        <v>8.6666666666666661</v>
      </c>
      <c r="R179" s="5" t="s">
        <v>975</v>
      </c>
      <c r="S179" s="5" t="b">
        <f t="shared" si="4"/>
        <v>1</v>
      </c>
    </row>
    <row r="180" spans="1:19" s="5" customFormat="1" ht="42" customHeight="1">
      <c r="A180" s="2">
        <v>178</v>
      </c>
      <c r="B180" s="12">
        <v>2544640006</v>
      </c>
      <c r="C180" s="21">
        <v>250371509261</v>
      </c>
      <c r="D180" s="17">
        <f t="shared" si="5"/>
        <v>250247</v>
      </c>
      <c r="E180" s="22" t="s">
        <v>976</v>
      </c>
      <c r="F180" s="12" t="s">
        <v>29</v>
      </c>
      <c r="G180" s="20" t="s">
        <v>15</v>
      </c>
      <c r="H180" s="19" t="s">
        <v>34</v>
      </c>
      <c r="I180" s="16" t="s">
        <v>4</v>
      </c>
      <c r="J180" s="16" t="s">
        <v>8</v>
      </c>
      <c r="K180" s="16" t="s">
        <v>6</v>
      </c>
      <c r="L180" s="16" t="s">
        <v>4</v>
      </c>
      <c r="M180" s="16" t="s">
        <v>4</v>
      </c>
      <c r="N180" s="16" t="s">
        <v>6</v>
      </c>
      <c r="O180" s="16" t="s">
        <v>3</v>
      </c>
      <c r="P180" s="11" t="s">
        <v>17</v>
      </c>
      <c r="Q180" s="4">
        <v>6.7777777777777777</v>
      </c>
      <c r="R180" s="5" t="s">
        <v>976</v>
      </c>
      <c r="S180" s="5" t="b">
        <f t="shared" si="4"/>
        <v>1</v>
      </c>
    </row>
    <row r="181" spans="1:19" s="5" customFormat="1" ht="42" customHeight="1">
      <c r="A181" s="2">
        <v>179</v>
      </c>
      <c r="B181" s="12">
        <v>2544640625</v>
      </c>
      <c r="C181" s="21">
        <v>250371509265</v>
      </c>
      <c r="D181" s="17">
        <f t="shared" si="5"/>
        <v>250248</v>
      </c>
      <c r="E181" s="22" t="s">
        <v>977</v>
      </c>
      <c r="F181" s="12" t="s">
        <v>29</v>
      </c>
      <c r="G181" s="20" t="s">
        <v>15</v>
      </c>
      <c r="H181" s="19" t="s">
        <v>34</v>
      </c>
      <c r="I181" s="16" t="s">
        <v>3</v>
      </c>
      <c r="J181" s="16" t="s">
        <v>8</v>
      </c>
      <c r="K181" s="16" t="s">
        <v>4</v>
      </c>
      <c r="L181" s="16" t="s">
        <v>2</v>
      </c>
      <c r="M181" s="16" t="s">
        <v>2</v>
      </c>
      <c r="N181" s="16" t="s">
        <v>3</v>
      </c>
      <c r="O181" s="16" t="s">
        <v>8</v>
      </c>
      <c r="P181" s="11" t="s">
        <v>17</v>
      </c>
      <c r="Q181" s="4">
        <v>8.4444444444444446</v>
      </c>
      <c r="R181" s="5" t="s">
        <v>977</v>
      </c>
      <c r="S181" s="5" t="b">
        <f t="shared" si="4"/>
        <v>1</v>
      </c>
    </row>
    <row r="182" spans="1:19" s="5" customFormat="1" ht="42" customHeight="1">
      <c r="A182" s="2">
        <v>180</v>
      </c>
      <c r="B182" s="12">
        <v>2544640336</v>
      </c>
      <c r="C182" s="21">
        <v>250371509266</v>
      </c>
      <c r="D182" s="17">
        <f t="shared" si="5"/>
        <v>250249</v>
      </c>
      <c r="E182" s="22" t="s">
        <v>978</v>
      </c>
      <c r="F182" s="12" t="s">
        <v>29</v>
      </c>
      <c r="G182" s="20" t="s">
        <v>15</v>
      </c>
      <c r="H182" s="19" t="s">
        <v>34</v>
      </c>
      <c r="I182" s="16" t="s">
        <v>3</v>
      </c>
      <c r="J182" s="16" t="s">
        <v>8</v>
      </c>
      <c r="K182" s="16" t="s">
        <v>4</v>
      </c>
      <c r="L182" s="16" t="s">
        <v>8</v>
      </c>
      <c r="M182" s="16" t="s">
        <v>8</v>
      </c>
      <c r="N182" s="16" t="s">
        <v>2</v>
      </c>
      <c r="O182" s="16" t="s">
        <v>8</v>
      </c>
      <c r="P182" s="11" t="s">
        <v>17</v>
      </c>
      <c r="Q182" s="4">
        <v>8.8333333333333339</v>
      </c>
      <c r="R182" s="5" t="s">
        <v>978</v>
      </c>
      <c r="S182" s="5" t="b">
        <f t="shared" si="4"/>
        <v>1</v>
      </c>
    </row>
    <row r="183" spans="1:19" s="5" customFormat="1" ht="42" customHeight="1">
      <c r="A183" s="2">
        <v>181</v>
      </c>
      <c r="B183" s="12">
        <v>2544640719</v>
      </c>
      <c r="C183" s="21">
        <v>250371509268</v>
      </c>
      <c r="D183" s="17">
        <f t="shared" si="5"/>
        <v>250250</v>
      </c>
      <c r="E183" s="22" t="s">
        <v>979</v>
      </c>
      <c r="F183" s="12" t="s">
        <v>29</v>
      </c>
      <c r="G183" s="20" t="s">
        <v>15</v>
      </c>
      <c r="H183" s="19" t="s">
        <v>34</v>
      </c>
      <c r="I183" s="16" t="s">
        <v>3</v>
      </c>
      <c r="J183" s="16" t="s">
        <v>2</v>
      </c>
      <c r="K183" s="16" t="s">
        <v>5</v>
      </c>
      <c r="L183" s="16" t="s">
        <v>3</v>
      </c>
      <c r="M183" s="16" t="s">
        <v>4</v>
      </c>
      <c r="N183" s="16" t="s">
        <v>4</v>
      </c>
      <c r="O183" s="16" t="s">
        <v>2</v>
      </c>
      <c r="P183" s="11" t="s">
        <v>17</v>
      </c>
      <c r="Q183" s="4">
        <v>7.5555555555555554</v>
      </c>
      <c r="R183" s="5" t="s">
        <v>979</v>
      </c>
      <c r="S183" s="5" t="b">
        <f t="shared" si="4"/>
        <v>1</v>
      </c>
    </row>
    <row r="184" spans="1:19" s="5" customFormat="1" ht="42" customHeight="1">
      <c r="A184" s="2">
        <v>182</v>
      </c>
      <c r="B184" s="12">
        <v>2544640435</v>
      </c>
      <c r="C184" s="21">
        <v>250371509270</v>
      </c>
      <c r="D184" s="17">
        <f t="shared" si="5"/>
        <v>250251</v>
      </c>
      <c r="E184" s="22" t="s">
        <v>980</v>
      </c>
      <c r="F184" s="12" t="s">
        <v>29</v>
      </c>
      <c r="G184" s="20" t="s">
        <v>15</v>
      </c>
      <c r="H184" s="19" t="s">
        <v>34</v>
      </c>
      <c r="I184" s="16" t="s">
        <v>3</v>
      </c>
      <c r="J184" s="16" t="s">
        <v>2</v>
      </c>
      <c r="K184" s="16" t="s">
        <v>4</v>
      </c>
      <c r="L184" s="16" t="s">
        <v>3</v>
      </c>
      <c r="M184" s="16" t="s">
        <v>3</v>
      </c>
      <c r="N184" s="16" t="s">
        <v>2</v>
      </c>
      <c r="O184" s="16" t="s">
        <v>8</v>
      </c>
      <c r="P184" s="11" t="s">
        <v>17</v>
      </c>
      <c r="Q184" s="4">
        <v>8.2222222222222214</v>
      </c>
      <c r="R184" s="5" t="s">
        <v>980</v>
      </c>
      <c r="S184" s="5" t="b">
        <f t="shared" si="4"/>
        <v>1</v>
      </c>
    </row>
    <row r="185" spans="1:19" s="5" customFormat="1" ht="42" customHeight="1">
      <c r="A185" s="2">
        <v>183</v>
      </c>
      <c r="B185" s="12">
        <v>2544640252</v>
      </c>
      <c r="C185" s="21">
        <v>250371509271</v>
      </c>
      <c r="D185" s="17">
        <f t="shared" si="5"/>
        <v>250252</v>
      </c>
      <c r="E185" s="22" t="s">
        <v>981</v>
      </c>
      <c r="F185" s="12" t="s">
        <v>29</v>
      </c>
      <c r="G185" s="20" t="s">
        <v>15</v>
      </c>
      <c r="H185" s="19" t="s">
        <v>34</v>
      </c>
      <c r="I185" s="16" t="s">
        <v>3</v>
      </c>
      <c r="J185" s="16" t="s">
        <v>2</v>
      </c>
      <c r="K185" s="16" t="s">
        <v>6</v>
      </c>
      <c r="L185" s="16" t="s">
        <v>2</v>
      </c>
      <c r="M185" s="16" t="s">
        <v>2</v>
      </c>
      <c r="N185" s="16" t="s">
        <v>3</v>
      </c>
      <c r="O185" s="16" t="s">
        <v>8</v>
      </c>
      <c r="P185" s="11" t="s">
        <v>17</v>
      </c>
      <c r="Q185" s="4">
        <v>7.833333333333333</v>
      </c>
      <c r="R185" s="5" t="s">
        <v>981</v>
      </c>
      <c r="S185" s="5" t="b">
        <f t="shared" si="4"/>
        <v>1</v>
      </c>
    </row>
    <row r="186" spans="1:19" s="5" customFormat="1" ht="42" customHeight="1">
      <c r="A186" s="2">
        <v>184</v>
      </c>
      <c r="B186" s="12">
        <v>2544640222</v>
      </c>
      <c r="C186" s="21">
        <v>250371509272</v>
      </c>
      <c r="D186" s="17">
        <f t="shared" si="5"/>
        <v>250253</v>
      </c>
      <c r="E186" s="22" t="s">
        <v>982</v>
      </c>
      <c r="F186" s="12" t="s">
        <v>29</v>
      </c>
      <c r="G186" s="20" t="s">
        <v>15</v>
      </c>
      <c r="H186" s="19" t="s">
        <v>34</v>
      </c>
      <c r="I186" s="16" t="s">
        <v>4</v>
      </c>
      <c r="J186" s="16" t="s">
        <v>2</v>
      </c>
      <c r="K186" s="16" t="s">
        <v>6</v>
      </c>
      <c r="L186" s="16" t="s">
        <v>3</v>
      </c>
      <c r="M186" s="16" t="s">
        <v>8</v>
      </c>
      <c r="N186" s="16" t="s">
        <v>3</v>
      </c>
      <c r="O186" s="16" t="s">
        <v>8</v>
      </c>
      <c r="P186" s="11" t="s">
        <v>17</v>
      </c>
      <c r="Q186" s="4">
        <v>7.56</v>
      </c>
      <c r="R186" s="5" t="s">
        <v>982</v>
      </c>
      <c r="S186" s="5" t="b">
        <f t="shared" si="4"/>
        <v>1</v>
      </c>
    </row>
    <row r="187" spans="1:19" s="5" customFormat="1" ht="42" customHeight="1">
      <c r="A187" s="2">
        <v>185</v>
      </c>
      <c r="B187" s="12">
        <v>2544640794</v>
      </c>
      <c r="C187" s="21">
        <v>250371509274</v>
      </c>
      <c r="D187" s="17">
        <f t="shared" si="5"/>
        <v>250254</v>
      </c>
      <c r="E187" s="22" t="s">
        <v>983</v>
      </c>
      <c r="F187" s="12" t="s">
        <v>29</v>
      </c>
      <c r="G187" s="20" t="s">
        <v>15</v>
      </c>
      <c r="H187" s="19" t="s">
        <v>34</v>
      </c>
      <c r="I187" s="16" t="s">
        <v>3</v>
      </c>
      <c r="J187" s="16" t="s">
        <v>8</v>
      </c>
      <c r="K187" s="16" t="s">
        <v>5</v>
      </c>
      <c r="L187" s="16" t="s">
        <v>2</v>
      </c>
      <c r="M187" s="16" t="s">
        <v>4</v>
      </c>
      <c r="N187" s="16" t="s">
        <v>4</v>
      </c>
      <c r="O187" s="16" t="s">
        <v>8</v>
      </c>
      <c r="P187" s="11" t="s">
        <v>17</v>
      </c>
      <c r="Q187" s="4">
        <v>7.9444444444444446</v>
      </c>
      <c r="R187" s="5" t="s">
        <v>983</v>
      </c>
      <c r="S187" s="5" t="b">
        <f t="shared" si="4"/>
        <v>1</v>
      </c>
    </row>
    <row r="188" spans="1:19" s="5" customFormat="1" ht="42" customHeight="1">
      <c r="A188" s="2">
        <v>186</v>
      </c>
      <c r="B188" s="12">
        <v>2544640240</v>
      </c>
      <c r="C188" s="21">
        <v>250371509275</v>
      </c>
      <c r="D188" s="17">
        <f t="shared" si="5"/>
        <v>250255</v>
      </c>
      <c r="E188" s="22" t="s">
        <v>984</v>
      </c>
      <c r="F188" s="12" t="s">
        <v>29</v>
      </c>
      <c r="G188" s="20" t="s">
        <v>15</v>
      </c>
      <c r="H188" s="19" t="s">
        <v>34</v>
      </c>
      <c r="I188" s="16" t="s">
        <v>3</v>
      </c>
      <c r="J188" s="16" t="s">
        <v>2</v>
      </c>
      <c r="K188" s="16" t="s">
        <v>6</v>
      </c>
      <c r="L188" s="16" t="s">
        <v>2</v>
      </c>
      <c r="M188" s="16" t="s">
        <v>2</v>
      </c>
      <c r="N188" s="16" t="s">
        <v>2</v>
      </c>
      <c r="O188" s="16" t="s">
        <v>8</v>
      </c>
      <c r="P188" s="11" t="s">
        <v>17</v>
      </c>
      <c r="Q188" s="4">
        <v>8</v>
      </c>
      <c r="R188" s="5" t="s">
        <v>984</v>
      </c>
      <c r="S188" s="5" t="b">
        <f t="shared" si="4"/>
        <v>1</v>
      </c>
    </row>
    <row r="189" spans="1:19" s="5" customFormat="1" ht="42" customHeight="1">
      <c r="A189" s="2">
        <v>187</v>
      </c>
      <c r="B189" s="12">
        <v>2544640818</v>
      </c>
      <c r="C189" s="21">
        <v>250371509276</v>
      </c>
      <c r="D189" s="17">
        <f t="shared" si="5"/>
        <v>250256</v>
      </c>
      <c r="E189" s="22" t="s">
        <v>985</v>
      </c>
      <c r="F189" s="12" t="s">
        <v>29</v>
      </c>
      <c r="G189" s="20" t="s">
        <v>15</v>
      </c>
      <c r="H189" s="19" t="s">
        <v>34</v>
      </c>
      <c r="I189" s="16" t="s">
        <v>2</v>
      </c>
      <c r="J189" s="16" t="s">
        <v>2</v>
      </c>
      <c r="K189" s="16" t="s">
        <v>4</v>
      </c>
      <c r="L189" s="16" t="s">
        <v>8</v>
      </c>
      <c r="M189" s="16" t="s">
        <v>8</v>
      </c>
      <c r="N189" s="16" t="s">
        <v>2</v>
      </c>
      <c r="O189" s="16" t="s">
        <v>8</v>
      </c>
      <c r="P189" s="11" t="s">
        <v>17</v>
      </c>
      <c r="Q189" s="4">
        <v>8.8333333333333339</v>
      </c>
      <c r="R189" s="5" t="s">
        <v>985</v>
      </c>
      <c r="S189" s="5" t="b">
        <f t="shared" si="4"/>
        <v>1</v>
      </c>
    </row>
    <row r="190" spans="1:19" s="5" customFormat="1" ht="42" customHeight="1">
      <c r="A190" s="2">
        <v>188</v>
      </c>
      <c r="B190" s="12">
        <v>2544641057</v>
      </c>
      <c r="C190" s="21">
        <v>250371509277</v>
      </c>
      <c r="D190" s="17">
        <f t="shared" si="5"/>
        <v>250257</v>
      </c>
      <c r="E190" s="22" t="s">
        <v>986</v>
      </c>
      <c r="F190" s="12" t="s">
        <v>29</v>
      </c>
      <c r="G190" s="20" t="s">
        <v>15</v>
      </c>
      <c r="H190" s="19" t="s">
        <v>34</v>
      </c>
      <c r="I190" s="16" t="s">
        <v>1516</v>
      </c>
      <c r="J190" s="16" t="s">
        <v>1516</v>
      </c>
      <c r="K190" s="16" t="s">
        <v>1516</v>
      </c>
      <c r="L190" s="16" t="s">
        <v>1516</v>
      </c>
      <c r="M190" s="16" t="s">
        <v>1516</v>
      </c>
      <c r="N190" s="16" t="s">
        <v>1516</v>
      </c>
      <c r="O190" s="16" t="s">
        <v>1516</v>
      </c>
      <c r="P190" s="11" t="s">
        <v>1516</v>
      </c>
      <c r="Q190" s="4">
        <v>0</v>
      </c>
      <c r="R190" s="5" t="s">
        <v>986</v>
      </c>
      <c r="S190" s="5" t="b">
        <f t="shared" si="4"/>
        <v>1</v>
      </c>
    </row>
    <row r="191" spans="1:19" s="5" customFormat="1" ht="42" customHeight="1">
      <c r="A191" s="2">
        <v>189</v>
      </c>
      <c r="B191" s="12">
        <v>2544640685</v>
      </c>
      <c r="C191" s="21">
        <v>250371509280</v>
      </c>
      <c r="D191" s="17">
        <f t="shared" si="5"/>
        <v>250258</v>
      </c>
      <c r="E191" s="22" t="s">
        <v>987</v>
      </c>
      <c r="F191" s="12" t="s">
        <v>29</v>
      </c>
      <c r="G191" s="20" t="s">
        <v>15</v>
      </c>
      <c r="H191" s="19" t="s">
        <v>34</v>
      </c>
      <c r="I191" s="16" t="s">
        <v>6</v>
      </c>
      <c r="J191" s="16" t="s">
        <v>5</v>
      </c>
      <c r="K191" s="16" t="s">
        <v>6</v>
      </c>
      <c r="L191" s="16" t="s">
        <v>3</v>
      </c>
      <c r="M191" s="16" t="s">
        <v>4</v>
      </c>
      <c r="N191" s="16" t="s">
        <v>6</v>
      </c>
      <c r="O191" s="16" t="s">
        <v>8</v>
      </c>
      <c r="P191" s="11" t="s">
        <v>17</v>
      </c>
      <c r="Q191" s="4">
        <v>6.0555555555555554</v>
      </c>
      <c r="R191" s="5" t="s">
        <v>987</v>
      </c>
      <c r="S191" s="5" t="b">
        <f t="shared" si="4"/>
        <v>1</v>
      </c>
    </row>
    <row r="192" spans="1:19" s="5" customFormat="1" ht="42" customHeight="1">
      <c r="A192" s="2">
        <v>190</v>
      </c>
      <c r="B192" s="12">
        <v>2544640855</v>
      </c>
      <c r="C192" s="21">
        <v>250371509281</v>
      </c>
      <c r="D192" s="17">
        <f t="shared" si="5"/>
        <v>250259</v>
      </c>
      <c r="E192" s="22" t="s">
        <v>988</v>
      </c>
      <c r="F192" s="12" t="s">
        <v>29</v>
      </c>
      <c r="G192" s="20" t="s">
        <v>15</v>
      </c>
      <c r="H192" s="19" t="s">
        <v>34</v>
      </c>
      <c r="I192" s="16" t="s">
        <v>2</v>
      </c>
      <c r="J192" s="16" t="s">
        <v>8</v>
      </c>
      <c r="K192" s="16" t="s">
        <v>4</v>
      </c>
      <c r="L192" s="16" t="s">
        <v>2</v>
      </c>
      <c r="M192" s="16" t="s">
        <v>8</v>
      </c>
      <c r="N192" s="16" t="s">
        <v>2</v>
      </c>
      <c r="O192" s="16" t="s">
        <v>8</v>
      </c>
      <c r="P192" s="11" t="s">
        <v>17</v>
      </c>
      <c r="Q192" s="4">
        <v>8.8333333333333339</v>
      </c>
      <c r="R192" s="5" t="s">
        <v>988</v>
      </c>
      <c r="S192" s="5" t="b">
        <f t="shared" si="4"/>
        <v>1</v>
      </c>
    </row>
    <row r="193" spans="1:19" s="5" customFormat="1" ht="42" customHeight="1">
      <c r="A193" s="2">
        <v>191</v>
      </c>
      <c r="B193" s="12">
        <v>2544640197</v>
      </c>
      <c r="C193" s="21">
        <v>250371509282</v>
      </c>
      <c r="D193" s="17">
        <f t="shared" si="5"/>
        <v>250260</v>
      </c>
      <c r="E193" s="22" t="s">
        <v>989</v>
      </c>
      <c r="F193" s="12" t="s">
        <v>29</v>
      </c>
      <c r="G193" s="20" t="s">
        <v>15</v>
      </c>
      <c r="H193" s="19" t="s">
        <v>34</v>
      </c>
      <c r="I193" s="16" t="s">
        <v>4</v>
      </c>
      <c r="J193" s="16" t="s">
        <v>8</v>
      </c>
      <c r="K193" s="16" t="s">
        <v>5</v>
      </c>
      <c r="L193" s="16" t="s">
        <v>2</v>
      </c>
      <c r="M193" s="16" t="s">
        <v>8</v>
      </c>
      <c r="N193" s="16" t="s">
        <v>2</v>
      </c>
      <c r="O193" s="16" t="s">
        <v>2</v>
      </c>
      <c r="P193" s="11" t="s">
        <v>17</v>
      </c>
      <c r="Q193" s="4">
        <v>8.2222222222222214</v>
      </c>
      <c r="R193" s="5" t="s">
        <v>989</v>
      </c>
      <c r="S193" s="5" t="b">
        <f t="shared" si="4"/>
        <v>1</v>
      </c>
    </row>
    <row r="194" spans="1:19" s="5" customFormat="1" ht="42" customHeight="1">
      <c r="A194" s="2">
        <v>192</v>
      </c>
      <c r="B194" s="12">
        <v>2544640084</v>
      </c>
      <c r="C194" s="21">
        <v>250371509283</v>
      </c>
      <c r="D194" s="17">
        <f t="shared" si="5"/>
        <v>250261</v>
      </c>
      <c r="E194" s="22" t="s">
        <v>990</v>
      </c>
      <c r="F194" s="12" t="s">
        <v>29</v>
      </c>
      <c r="G194" s="20" t="s">
        <v>15</v>
      </c>
      <c r="H194" s="19" t="s">
        <v>34</v>
      </c>
      <c r="I194" s="16" t="s">
        <v>1516</v>
      </c>
      <c r="J194" s="16" t="s">
        <v>1516</v>
      </c>
      <c r="K194" s="16" t="s">
        <v>1516</v>
      </c>
      <c r="L194" s="16" t="s">
        <v>1516</v>
      </c>
      <c r="M194" s="16" t="s">
        <v>1516</v>
      </c>
      <c r="N194" s="16" t="s">
        <v>1516</v>
      </c>
      <c r="O194" s="16" t="s">
        <v>1516</v>
      </c>
      <c r="P194" s="11" t="s">
        <v>1516</v>
      </c>
      <c r="Q194" s="4">
        <v>0</v>
      </c>
      <c r="R194" s="5" t="s">
        <v>990</v>
      </c>
      <c r="S194" s="5" t="b">
        <f t="shared" si="4"/>
        <v>1</v>
      </c>
    </row>
    <row r="195" spans="1:19" s="5" customFormat="1" ht="42" customHeight="1">
      <c r="A195" s="2">
        <v>193</v>
      </c>
      <c r="B195" s="12">
        <v>2544640507</v>
      </c>
      <c r="C195" s="21">
        <v>250371509284</v>
      </c>
      <c r="D195" s="17">
        <f t="shared" si="5"/>
        <v>250262</v>
      </c>
      <c r="E195" s="22" t="s">
        <v>991</v>
      </c>
      <c r="F195" s="12" t="s">
        <v>29</v>
      </c>
      <c r="G195" s="20" t="s">
        <v>15</v>
      </c>
      <c r="H195" s="19" t="s">
        <v>34</v>
      </c>
      <c r="I195" s="16" t="s">
        <v>3</v>
      </c>
      <c r="J195" s="16" t="s">
        <v>3</v>
      </c>
      <c r="K195" s="16" t="s">
        <v>4</v>
      </c>
      <c r="L195" s="16" t="s">
        <v>2</v>
      </c>
      <c r="M195" s="16" t="s">
        <v>8</v>
      </c>
      <c r="N195" s="16" t="s">
        <v>3</v>
      </c>
      <c r="O195" s="16" t="s">
        <v>8</v>
      </c>
      <c r="P195" s="11" t="s">
        <v>17</v>
      </c>
      <c r="Q195" s="4">
        <v>8.1666666666666661</v>
      </c>
      <c r="R195" s="5" t="s">
        <v>991</v>
      </c>
      <c r="S195" s="5" t="b">
        <f t="shared" si="4"/>
        <v>1</v>
      </c>
    </row>
    <row r="196" spans="1:19" s="5" customFormat="1" ht="42" customHeight="1">
      <c r="A196" s="2">
        <v>194</v>
      </c>
      <c r="B196" s="12">
        <v>2544640658</v>
      </c>
      <c r="C196" s="21">
        <v>250371509285</v>
      </c>
      <c r="D196" s="17">
        <f t="shared" si="5"/>
        <v>250263</v>
      </c>
      <c r="E196" s="22" t="s">
        <v>992</v>
      </c>
      <c r="F196" s="12" t="s">
        <v>29</v>
      </c>
      <c r="G196" s="20" t="s">
        <v>15</v>
      </c>
      <c r="H196" s="19" t="s">
        <v>34</v>
      </c>
      <c r="I196" s="16" t="s">
        <v>3</v>
      </c>
      <c r="J196" s="16" t="s">
        <v>3</v>
      </c>
      <c r="K196" s="16" t="s">
        <v>5</v>
      </c>
      <c r="L196" s="16" t="s">
        <v>8</v>
      </c>
      <c r="M196" s="16" t="s">
        <v>2</v>
      </c>
      <c r="N196" s="16" t="s">
        <v>2</v>
      </c>
      <c r="O196" s="16" t="s">
        <v>2</v>
      </c>
      <c r="P196" s="11" t="s">
        <v>17</v>
      </c>
      <c r="Q196" s="4">
        <v>8.1666666666666661</v>
      </c>
      <c r="R196" s="5" t="s">
        <v>992</v>
      </c>
      <c r="S196" s="5" t="b">
        <f t="shared" ref="S196:S206" si="6">R196=E196</f>
        <v>1</v>
      </c>
    </row>
    <row r="197" spans="1:19" s="5" customFormat="1" ht="42" customHeight="1">
      <c r="A197" s="2">
        <v>195</v>
      </c>
      <c r="B197" s="12">
        <v>2544640104</v>
      </c>
      <c r="C197" s="21">
        <v>250371509286</v>
      </c>
      <c r="D197" s="17">
        <f t="shared" ref="D197:D206" si="7">D196+1</f>
        <v>250264</v>
      </c>
      <c r="E197" s="22" t="s">
        <v>993</v>
      </c>
      <c r="F197" s="12" t="s">
        <v>29</v>
      </c>
      <c r="G197" s="20" t="s">
        <v>15</v>
      </c>
      <c r="H197" s="19" t="s">
        <v>34</v>
      </c>
      <c r="I197" s="16" t="s">
        <v>3</v>
      </c>
      <c r="J197" s="16" t="s">
        <v>4</v>
      </c>
      <c r="K197" s="16" t="s">
        <v>6</v>
      </c>
      <c r="L197" s="16" t="s">
        <v>3</v>
      </c>
      <c r="M197" s="16" t="s">
        <v>2</v>
      </c>
      <c r="N197" s="16" t="s">
        <v>4</v>
      </c>
      <c r="O197" s="16" t="s">
        <v>3</v>
      </c>
      <c r="P197" s="11" t="s">
        <v>17</v>
      </c>
      <c r="Q197" s="4">
        <v>7.0555555555555554</v>
      </c>
      <c r="R197" s="5" t="s">
        <v>993</v>
      </c>
      <c r="S197" s="5" t="b">
        <f t="shared" si="6"/>
        <v>1</v>
      </c>
    </row>
    <row r="198" spans="1:19" s="5" customFormat="1" ht="42" customHeight="1">
      <c r="A198" s="2">
        <v>196</v>
      </c>
      <c r="B198" s="12">
        <v>2544640473</v>
      </c>
      <c r="C198" s="21">
        <v>250371509287</v>
      </c>
      <c r="D198" s="17">
        <f t="shared" si="7"/>
        <v>250265</v>
      </c>
      <c r="E198" s="22" t="s">
        <v>994</v>
      </c>
      <c r="F198" s="12" t="s">
        <v>29</v>
      </c>
      <c r="G198" s="20" t="s">
        <v>15</v>
      </c>
      <c r="H198" s="19" t="s">
        <v>34</v>
      </c>
      <c r="I198" s="16" t="s">
        <v>4</v>
      </c>
      <c r="J198" s="16" t="s">
        <v>4</v>
      </c>
      <c r="K198" s="16" t="s">
        <v>6</v>
      </c>
      <c r="L198" s="16" t="s">
        <v>2</v>
      </c>
      <c r="M198" s="16" t="s">
        <v>3</v>
      </c>
      <c r="N198" s="16" t="s">
        <v>3</v>
      </c>
      <c r="O198" s="16" t="s">
        <v>8</v>
      </c>
      <c r="P198" s="11" t="s">
        <v>17</v>
      </c>
      <c r="Q198" s="4">
        <v>7.2777777777777777</v>
      </c>
      <c r="R198" s="5" t="s">
        <v>994</v>
      </c>
      <c r="S198" s="5" t="b">
        <f t="shared" si="6"/>
        <v>1</v>
      </c>
    </row>
    <row r="199" spans="1:19" s="5" customFormat="1" ht="42" customHeight="1">
      <c r="A199" s="23">
        <v>197</v>
      </c>
      <c r="B199" s="24">
        <v>2544640924</v>
      </c>
      <c r="C199" s="25">
        <v>250371509288</v>
      </c>
      <c r="D199" s="17">
        <f t="shared" si="7"/>
        <v>250266</v>
      </c>
      <c r="E199" s="26" t="s">
        <v>995</v>
      </c>
      <c r="F199" s="24" t="s">
        <v>29</v>
      </c>
      <c r="G199" s="46" t="s">
        <v>15</v>
      </c>
      <c r="H199" s="27" t="s">
        <v>34</v>
      </c>
      <c r="I199" s="28" t="s">
        <v>2</v>
      </c>
      <c r="J199" s="28" t="s">
        <v>8</v>
      </c>
      <c r="K199" s="28" t="s">
        <v>4</v>
      </c>
      <c r="L199" s="28" t="s">
        <v>2</v>
      </c>
      <c r="M199" s="28" t="s">
        <v>2</v>
      </c>
      <c r="N199" s="28" t="s">
        <v>1517</v>
      </c>
      <c r="O199" s="28" t="s">
        <v>8</v>
      </c>
      <c r="P199" s="29" t="s">
        <v>1517</v>
      </c>
      <c r="Q199" s="30">
        <v>0</v>
      </c>
      <c r="R199" s="5" t="s">
        <v>995</v>
      </c>
      <c r="S199" s="5" t="b">
        <f t="shared" si="6"/>
        <v>1</v>
      </c>
    </row>
    <row r="200" spans="1:19" s="5" customFormat="1" ht="42" customHeight="1">
      <c r="A200" s="2">
        <v>198</v>
      </c>
      <c r="B200" s="12">
        <v>2544640649</v>
      </c>
      <c r="C200" s="21">
        <v>250371509289</v>
      </c>
      <c r="D200" s="17">
        <f t="shared" si="7"/>
        <v>250267</v>
      </c>
      <c r="E200" s="22" t="s">
        <v>996</v>
      </c>
      <c r="F200" s="12" t="s">
        <v>29</v>
      </c>
      <c r="G200" s="20" t="s">
        <v>15</v>
      </c>
      <c r="H200" s="19" t="s">
        <v>34</v>
      </c>
      <c r="I200" s="16" t="s">
        <v>3</v>
      </c>
      <c r="J200" s="16" t="s">
        <v>8</v>
      </c>
      <c r="K200" s="16" t="s">
        <v>4</v>
      </c>
      <c r="L200" s="16" t="s">
        <v>2</v>
      </c>
      <c r="M200" s="16" t="s">
        <v>2</v>
      </c>
      <c r="N200" s="16" t="s">
        <v>2</v>
      </c>
      <c r="O200" s="16" t="s">
        <v>8</v>
      </c>
      <c r="P200" s="11" t="s">
        <v>17</v>
      </c>
      <c r="Q200" s="4">
        <v>8.6111111111111107</v>
      </c>
      <c r="R200" s="5" t="s">
        <v>996</v>
      </c>
      <c r="S200" s="5" t="b">
        <f t="shared" si="6"/>
        <v>1</v>
      </c>
    </row>
    <row r="201" spans="1:19" s="5" customFormat="1" ht="42" customHeight="1">
      <c r="A201" s="2">
        <v>199</v>
      </c>
      <c r="B201" s="12">
        <v>2544640266</v>
      </c>
      <c r="C201" s="21">
        <v>250371509293</v>
      </c>
      <c r="D201" s="17">
        <f t="shared" si="7"/>
        <v>250268</v>
      </c>
      <c r="E201" s="22" t="s">
        <v>997</v>
      </c>
      <c r="F201" s="12" t="s">
        <v>29</v>
      </c>
      <c r="G201" s="20" t="s">
        <v>15</v>
      </c>
      <c r="H201" s="19" t="s">
        <v>34</v>
      </c>
      <c r="I201" s="16" t="s">
        <v>3</v>
      </c>
      <c r="J201" s="16" t="s">
        <v>2</v>
      </c>
      <c r="K201" s="16" t="s">
        <v>6</v>
      </c>
      <c r="L201" s="16" t="s">
        <v>2</v>
      </c>
      <c r="M201" s="16" t="s">
        <v>5</v>
      </c>
      <c r="N201" s="16" t="s">
        <v>4</v>
      </c>
      <c r="O201" s="16" t="s">
        <v>2</v>
      </c>
      <c r="P201" s="11" t="s">
        <v>17</v>
      </c>
      <c r="Q201" s="4">
        <v>7.4444444444444446</v>
      </c>
      <c r="R201" s="5" t="s">
        <v>997</v>
      </c>
      <c r="S201" s="5" t="b">
        <f t="shared" si="6"/>
        <v>1</v>
      </c>
    </row>
    <row r="202" spans="1:19" s="5" customFormat="1" ht="42" customHeight="1">
      <c r="A202" s="2">
        <v>200</v>
      </c>
      <c r="B202" s="12">
        <v>2544640226</v>
      </c>
      <c r="C202" s="21">
        <v>250371509294</v>
      </c>
      <c r="D202" s="17">
        <f t="shared" si="7"/>
        <v>250269</v>
      </c>
      <c r="E202" s="22" t="s">
        <v>998</v>
      </c>
      <c r="F202" s="12" t="s">
        <v>29</v>
      </c>
      <c r="G202" s="20" t="s">
        <v>15</v>
      </c>
      <c r="H202" s="19" t="s">
        <v>34</v>
      </c>
      <c r="I202" s="16" t="s">
        <v>3</v>
      </c>
      <c r="J202" s="16" t="s">
        <v>8</v>
      </c>
      <c r="K202" s="16" t="s">
        <v>4</v>
      </c>
      <c r="L202" s="16" t="s">
        <v>2</v>
      </c>
      <c r="M202" s="16" t="s">
        <v>2</v>
      </c>
      <c r="N202" s="16" t="s">
        <v>2</v>
      </c>
      <c r="O202" s="16" t="s">
        <v>8</v>
      </c>
      <c r="P202" s="11" t="s">
        <v>17</v>
      </c>
      <c r="Q202" s="4">
        <v>8.6111111111111107</v>
      </c>
      <c r="R202" s="5" t="s">
        <v>998</v>
      </c>
      <c r="S202" s="5" t="b">
        <f t="shared" si="6"/>
        <v>1</v>
      </c>
    </row>
    <row r="203" spans="1:19" s="5" customFormat="1" ht="42" customHeight="1">
      <c r="A203" s="2">
        <v>201</v>
      </c>
      <c r="B203" s="12">
        <v>2544640474</v>
      </c>
      <c r="C203" s="21">
        <v>250371509295</v>
      </c>
      <c r="D203" s="17">
        <f t="shared" si="7"/>
        <v>250270</v>
      </c>
      <c r="E203" s="22" t="s">
        <v>999</v>
      </c>
      <c r="F203" s="12" t="s">
        <v>29</v>
      </c>
      <c r="G203" s="20" t="s">
        <v>15</v>
      </c>
      <c r="H203" s="19" t="s">
        <v>34</v>
      </c>
      <c r="I203" s="16" t="s">
        <v>6</v>
      </c>
      <c r="J203" s="16" t="s">
        <v>4</v>
      </c>
      <c r="K203" s="16" t="s">
        <v>6</v>
      </c>
      <c r="L203" s="16" t="s">
        <v>2</v>
      </c>
      <c r="M203" s="16" t="s">
        <v>2</v>
      </c>
      <c r="N203" s="16" t="s">
        <v>4</v>
      </c>
      <c r="O203" s="16" t="s">
        <v>8</v>
      </c>
      <c r="P203" s="11" t="s">
        <v>17</v>
      </c>
      <c r="Q203" s="4">
        <v>6.833333333333333</v>
      </c>
      <c r="R203" s="5" t="s">
        <v>999</v>
      </c>
      <c r="S203" s="5" t="b">
        <f t="shared" si="6"/>
        <v>1</v>
      </c>
    </row>
    <row r="204" spans="1:19" s="5" customFormat="1" ht="42" customHeight="1">
      <c r="A204" s="2">
        <v>202</v>
      </c>
      <c r="B204" s="12">
        <v>2544640163</v>
      </c>
      <c r="C204" s="21">
        <v>250371509296</v>
      </c>
      <c r="D204" s="17">
        <f t="shared" si="7"/>
        <v>250271</v>
      </c>
      <c r="E204" s="22" t="s">
        <v>1000</v>
      </c>
      <c r="F204" s="12" t="s">
        <v>29</v>
      </c>
      <c r="G204" s="20" t="s">
        <v>15</v>
      </c>
      <c r="H204" s="19" t="s">
        <v>34</v>
      </c>
      <c r="I204" s="16" t="s">
        <v>3</v>
      </c>
      <c r="J204" s="16" t="s">
        <v>2</v>
      </c>
      <c r="K204" s="16" t="s">
        <v>4</v>
      </c>
      <c r="L204" s="16" t="s">
        <v>2</v>
      </c>
      <c r="M204" s="16" t="s">
        <v>2</v>
      </c>
      <c r="N204" s="16" t="s">
        <v>3</v>
      </c>
      <c r="O204" s="16" t="s">
        <v>2</v>
      </c>
      <c r="P204" s="11" t="s">
        <v>17</v>
      </c>
      <c r="Q204" s="4">
        <v>8.2222222222222214</v>
      </c>
      <c r="R204" s="5" t="s">
        <v>1000</v>
      </c>
      <c r="S204" s="5" t="b">
        <f t="shared" si="6"/>
        <v>1</v>
      </c>
    </row>
    <row r="205" spans="1:19" s="5" customFormat="1" ht="42" customHeight="1">
      <c r="A205" s="2">
        <v>203</v>
      </c>
      <c r="B205" s="12">
        <v>2544640574</v>
      </c>
      <c r="C205" s="21">
        <v>250371509297</v>
      </c>
      <c r="D205" s="17">
        <f t="shared" si="7"/>
        <v>250272</v>
      </c>
      <c r="E205" s="22" t="s">
        <v>1001</v>
      </c>
      <c r="F205" s="12" t="s">
        <v>29</v>
      </c>
      <c r="G205" s="20" t="s">
        <v>15</v>
      </c>
      <c r="H205" s="19" t="s">
        <v>34</v>
      </c>
      <c r="I205" s="16" t="s">
        <v>2</v>
      </c>
      <c r="J205" s="16" t="s">
        <v>2</v>
      </c>
      <c r="K205" s="16" t="s">
        <v>4</v>
      </c>
      <c r="L205" s="16" t="s">
        <v>2</v>
      </c>
      <c r="M205" s="16" t="s">
        <v>3</v>
      </c>
      <c r="N205" s="16" t="s">
        <v>3</v>
      </c>
      <c r="O205" s="16" t="s">
        <v>8</v>
      </c>
      <c r="P205" s="11" t="s">
        <v>17</v>
      </c>
      <c r="Q205" s="4">
        <v>8.3888888888888893</v>
      </c>
      <c r="R205" s="5" t="s">
        <v>1001</v>
      </c>
      <c r="S205" s="5" t="b">
        <f t="shared" si="6"/>
        <v>1</v>
      </c>
    </row>
    <row r="206" spans="1:19" s="5" customFormat="1" ht="42" customHeight="1">
      <c r="A206" s="2">
        <v>204</v>
      </c>
      <c r="B206" s="12">
        <v>2544640823</v>
      </c>
      <c r="C206" s="21">
        <v>250371509299</v>
      </c>
      <c r="D206" s="17">
        <f t="shared" si="7"/>
        <v>250273</v>
      </c>
      <c r="E206" s="22" t="s">
        <v>1002</v>
      </c>
      <c r="F206" s="12" t="s">
        <v>29</v>
      </c>
      <c r="G206" s="20" t="s">
        <v>15</v>
      </c>
      <c r="H206" s="19" t="s">
        <v>34</v>
      </c>
      <c r="I206" s="16" t="s">
        <v>4</v>
      </c>
      <c r="J206" s="16" t="s">
        <v>8</v>
      </c>
      <c r="K206" s="16" t="s">
        <v>4</v>
      </c>
      <c r="L206" s="16" t="s">
        <v>2</v>
      </c>
      <c r="M206" s="16" t="s">
        <v>3</v>
      </c>
      <c r="N206" s="16" t="s">
        <v>3</v>
      </c>
      <c r="O206" s="16" t="s">
        <v>8</v>
      </c>
      <c r="P206" s="11" t="s">
        <v>17</v>
      </c>
      <c r="Q206" s="4">
        <v>8.2222222222222214</v>
      </c>
      <c r="R206" s="5" t="s">
        <v>1002</v>
      </c>
      <c r="S206" s="5" t="b">
        <f t="shared" si="6"/>
        <v>1</v>
      </c>
    </row>
  </sheetData>
  <autoFilter ref="R2:S206"/>
  <mergeCells count="8">
    <mergeCell ref="H1:H2"/>
    <mergeCell ref="Q1:Q2"/>
    <mergeCell ref="A1:A2"/>
    <mergeCell ref="B1:B2"/>
    <mergeCell ref="C1:C2"/>
    <mergeCell ref="E1:E2"/>
    <mergeCell ref="F1:F2"/>
    <mergeCell ref="G1:G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00B050"/>
  </sheetPr>
  <dimension ref="A1:S97"/>
  <sheetViews>
    <sheetView topLeftCell="E1" zoomScale="85" zoomScaleNormal="85" workbookViewId="0">
      <pane ySplit="2" topLeftCell="A3" activePane="bottomLeft" state="frozen"/>
      <selection activeCell="F20" sqref="F20"/>
      <selection pane="bottomLeft" activeCell="F20" sqref="F20"/>
    </sheetView>
  </sheetViews>
  <sheetFormatPr defaultRowHeight="15"/>
  <cols>
    <col min="1" max="1" width="6.5703125" style="6" bestFit="1" customWidth="1"/>
    <col min="2" max="2" width="16.28515625" style="6" customWidth="1"/>
    <col min="3" max="4" width="20.42578125" style="6" customWidth="1"/>
    <col min="5" max="5" width="44.5703125" style="6" customWidth="1"/>
    <col min="6" max="6" width="12.140625" style="9" customWidth="1"/>
    <col min="7" max="8" width="13.42578125" style="6" customWidth="1"/>
    <col min="9" max="9" width="17.85546875" style="6" customWidth="1"/>
    <col min="10" max="10" width="18.5703125" style="6" customWidth="1"/>
    <col min="11" max="11" width="18.85546875" style="6" customWidth="1"/>
    <col min="12" max="16" width="17.85546875" style="6" customWidth="1"/>
    <col min="17" max="17" width="9.140625" style="7" customWidth="1"/>
    <col min="18" max="18" width="39.5703125" style="6" customWidth="1"/>
    <col min="19" max="16384" width="9.140625" style="6"/>
  </cols>
  <sheetData>
    <row r="1" spans="1:19" s="8" customFormat="1" ht="127.5" customHeight="1">
      <c r="A1" s="53" t="s">
        <v>1</v>
      </c>
      <c r="B1" s="53" t="s">
        <v>16</v>
      </c>
      <c r="C1" s="53" t="s">
        <v>12</v>
      </c>
      <c r="D1" s="42" t="s">
        <v>1520</v>
      </c>
      <c r="E1" s="53" t="s">
        <v>13</v>
      </c>
      <c r="F1" s="53" t="s">
        <v>14</v>
      </c>
      <c r="G1" s="53" t="s">
        <v>0</v>
      </c>
      <c r="H1" s="53" t="s">
        <v>31</v>
      </c>
      <c r="I1" s="1" t="s">
        <v>78</v>
      </c>
      <c r="J1" s="1" t="s">
        <v>83</v>
      </c>
      <c r="K1" s="1" t="s">
        <v>80</v>
      </c>
      <c r="L1" s="1" t="s">
        <v>391</v>
      </c>
      <c r="M1" s="1" t="s">
        <v>393</v>
      </c>
      <c r="N1" s="1" t="s">
        <v>392</v>
      </c>
      <c r="O1" s="1" t="s">
        <v>394</v>
      </c>
      <c r="P1" s="1" t="s">
        <v>10</v>
      </c>
      <c r="Q1" s="55" t="s">
        <v>9</v>
      </c>
    </row>
    <row r="2" spans="1:19" s="8" customFormat="1" ht="29.25" customHeight="1">
      <c r="A2" s="54"/>
      <c r="B2" s="54"/>
      <c r="C2" s="54"/>
      <c r="D2" s="43"/>
      <c r="E2" s="54"/>
      <c r="F2" s="54"/>
      <c r="G2" s="54"/>
      <c r="H2" s="54"/>
      <c r="I2" s="10">
        <v>3</v>
      </c>
      <c r="J2" s="10">
        <v>3</v>
      </c>
      <c r="K2" s="10">
        <v>4</v>
      </c>
      <c r="L2" s="10">
        <v>3</v>
      </c>
      <c r="M2" s="10">
        <v>1</v>
      </c>
      <c r="N2" s="10">
        <v>3</v>
      </c>
      <c r="O2" s="10">
        <v>1</v>
      </c>
      <c r="P2" s="10">
        <f>SUM(I2:O2)</f>
        <v>18</v>
      </c>
      <c r="Q2" s="56"/>
      <c r="R2" s="8" t="s">
        <v>1542</v>
      </c>
      <c r="S2" s="8" t="s">
        <v>1543</v>
      </c>
    </row>
    <row r="3" spans="1:19" s="5" customFormat="1" ht="42" customHeight="1">
      <c r="A3" s="2">
        <v>1</v>
      </c>
      <c r="B3" s="12">
        <v>2544641116</v>
      </c>
      <c r="C3" s="21">
        <v>250371509007</v>
      </c>
      <c r="D3" s="17">
        <v>250274</v>
      </c>
      <c r="E3" s="22" t="s">
        <v>1003</v>
      </c>
      <c r="F3" s="12" t="s">
        <v>29</v>
      </c>
      <c r="G3" s="14" t="s">
        <v>15</v>
      </c>
      <c r="H3" s="19" t="s">
        <v>85</v>
      </c>
      <c r="I3" s="16" t="s">
        <v>4</v>
      </c>
      <c r="J3" s="16" t="s">
        <v>11</v>
      </c>
      <c r="K3" s="16" t="s">
        <v>5</v>
      </c>
      <c r="L3" s="16" t="s">
        <v>5</v>
      </c>
      <c r="M3" s="16" t="s">
        <v>4</v>
      </c>
      <c r="N3" s="16" t="s">
        <v>3</v>
      </c>
      <c r="O3" s="16" t="s">
        <v>8</v>
      </c>
      <c r="P3" s="11" t="s">
        <v>17</v>
      </c>
      <c r="Q3" s="4">
        <v>6.4444444444444446</v>
      </c>
      <c r="R3" s="5" t="s">
        <v>1003</v>
      </c>
      <c r="S3" s="5" t="b">
        <f>R3=E3</f>
        <v>1</v>
      </c>
    </row>
    <row r="4" spans="1:19" s="5" customFormat="1" ht="42" customHeight="1">
      <c r="A4" s="2">
        <v>2</v>
      </c>
      <c r="B4" s="12">
        <v>2544640585</v>
      </c>
      <c r="C4" s="21">
        <v>250371509010</v>
      </c>
      <c r="D4" s="17">
        <f>D3+1</f>
        <v>250275</v>
      </c>
      <c r="E4" s="22" t="s">
        <v>1004</v>
      </c>
      <c r="F4" s="12" t="s">
        <v>29</v>
      </c>
      <c r="G4" s="14" t="s">
        <v>15</v>
      </c>
      <c r="H4" s="19" t="s">
        <v>85</v>
      </c>
      <c r="I4" s="16" t="s">
        <v>5</v>
      </c>
      <c r="J4" s="16" t="s">
        <v>3</v>
      </c>
      <c r="K4" s="16" t="s">
        <v>4</v>
      </c>
      <c r="L4" s="16" t="s">
        <v>3</v>
      </c>
      <c r="M4" s="16" t="s">
        <v>4</v>
      </c>
      <c r="N4" s="16" t="s">
        <v>2</v>
      </c>
      <c r="O4" s="16" t="s">
        <v>2</v>
      </c>
      <c r="P4" s="11" t="s">
        <v>17</v>
      </c>
      <c r="Q4" s="4">
        <v>7.6111111111111107</v>
      </c>
      <c r="R4" s="5" t="s">
        <v>1004</v>
      </c>
      <c r="S4" s="5" t="b">
        <f t="shared" ref="S4:S67" si="0">R4=E4</f>
        <v>1</v>
      </c>
    </row>
    <row r="5" spans="1:19" s="5" customFormat="1" ht="42" customHeight="1">
      <c r="A5" s="2">
        <v>3</v>
      </c>
      <c r="B5" s="12">
        <v>2544640588</v>
      </c>
      <c r="C5" s="21">
        <v>250371509011</v>
      </c>
      <c r="D5" s="17">
        <f t="shared" ref="D5:D68" si="1">D4+1</f>
        <v>250276</v>
      </c>
      <c r="E5" s="22" t="s">
        <v>1544</v>
      </c>
      <c r="F5" s="12" t="s">
        <v>29</v>
      </c>
      <c r="G5" s="14" t="s">
        <v>15</v>
      </c>
      <c r="H5" s="19" t="s">
        <v>85</v>
      </c>
      <c r="I5" s="16" t="s">
        <v>1516</v>
      </c>
      <c r="J5" s="16" t="s">
        <v>1516</v>
      </c>
      <c r="K5" s="16" t="s">
        <v>1516</v>
      </c>
      <c r="L5" s="16" t="s">
        <v>1516</v>
      </c>
      <c r="M5" s="16" t="s">
        <v>1516</v>
      </c>
      <c r="N5" s="16" t="s">
        <v>1516</v>
      </c>
      <c r="O5" s="16" t="s">
        <v>1516</v>
      </c>
      <c r="P5" s="11" t="s">
        <v>1516</v>
      </c>
      <c r="Q5" s="4">
        <v>0</v>
      </c>
      <c r="R5" s="5" t="s">
        <v>1544</v>
      </c>
      <c r="S5" s="5" t="b">
        <f t="shared" si="0"/>
        <v>1</v>
      </c>
    </row>
    <row r="6" spans="1:19" s="5" customFormat="1" ht="42" customHeight="1">
      <c r="A6" s="2">
        <v>4</v>
      </c>
      <c r="B6" s="12">
        <v>2544640372</v>
      </c>
      <c r="C6" s="21">
        <v>250371509013</v>
      </c>
      <c r="D6" s="17">
        <f t="shared" si="1"/>
        <v>250277</v>
      </c>
      <c r="E6" s="22" t="s">
        <v>1005</v>
      </c>
      <c r="F6" s="12" t="s">
        <v>29</v>
      </c>
      <c r="G6" s="14" t="s">
        <v>15</v>
      </c>
      <c r="H6" s="19" t="s">
        <v>85</v>
      </c>
      <c r="I6" s="16" t="s">
        <v>3</v>
      </c>
      <c r="J6" s="16" t="s">
        <v>3</v>
      </c>
      <c r="K6" s="16" t="s">
        <v>6</v>
      </c>
      <c r="L6" s="16" t="s">
        <v>4</v>
      </c>
      <c r="M6" s="16" t="s">
        <v>2</v>
      </c>
      <c r="N6" s="16" t="s">
        <v>2</v>
      </c>
      <c r="O6" s="16" t="s">
        <v>2</v>
      </c>
      <c r="P6" s="11" t="s">
        <v>17</v>
      </c>
      <c r="Q6" s="4">
        <v>7.4444444444444446</v>
      </c>
      <c r="R6" s="5" t="s">
        <v>1005</v>
      </c>
      <c r="S6" s="5" t="b">
        <f t="shared" si="0"/>
        <v>1</v>
      </c>
    </row>
    <row r="7" spans="1:19" s="5" customFormat="1" ht="42" customHeight="1">
      <c r="A7" s="2">
        <v>5</v>
      </c>
      <c r="B7" s="12">
        <v>2544640320</v>
      </c>
      <c r="C7" s="21">
        <v>250371509014</v>
      </c>
      <c r="D7" s="17">
        <f t="shared" si="1"/>
        <v>250278</v>
      </c>
      <c r="E7" s="22" t="s">
        <v>1006</v>
      </c>
      <c r="F7" s="12" t="s">
        <v>29</v>
      </c>
      <c r="G7" s="14" t="s">
        <v>15</v>
      </c>
      <c r="H7" s="19" t="s">
        <v>85</v>
      </c>
      <c r="I7" s="16" t="s">
        <v>4</v>
      </c>
      <c r="J7" s="16" t="s">
        <v>5</v>
      </c>
      <c r="K7" s="16" t="s">
        <v>7</v>
      </c>
      <c r="L7" s="16" t="s">
        <v>4</v>
      </c>
      <c r="M7" s="16" t="s">
        <v>8</v>
      </c>
      <c r="N7" s="16" t="s">
        <v>2</v>
      </c>
      <c r="O7" s="16" t="s">
        <v>8</v>
      </c>
      <c r="P7" s="11" t="s">
        <v>7</v>
      </c>
      <c r="Q7" s="4">
        <v>0</v>
      </c>
      <c r="R7" s="5" t="s">
        <v>1006</v>
      </c>
      <c r="S7" s="5" t="b">
        <f t="shared" si="0"/>
        <v>1</v>
      </c>
    </row>
    <row r="8" spans="1:19" s="5" customFormat="1" ht="42" customHeight="1">
      <c r="A8" s="2">
        <v>6</v>
      </c>
      <c r="B8" s="12">
        <v>2544640998</v>
      </c>
      <c r="C8" s="21">
        <v>250371509019</v>
      </c>
      <c r="D8" s="17">
        <f t="shared" si="1"/>
        <v>250279</v>
      </c>
      <c r="E8" s="22" t="s">
        <v>1007</v>
      </c>
      <c r="F8" s="12" t="s">
        <v>29</v>
      </c>
      <c r="G8" s="14" t="s">
        <v>15</v>
      </c>
      <c r="H8" s="19" t="s">
        <v>85</v>
      </c>
      <c r="I8" s="16" t="s">
        <v>3</v>
      </c>
      <c r="J8" s="16" t="s">
        <v>4</v>
      </c>
      <c r="K8" s="16" t="s">
        <v>2</v>
      </c>
      <c r="L8" s="16" t="s">
        <v>2</v>
      </c>
      <c r="M8" s="16" t="s">
        <v>3</v>
      </c>
      <c r="N8" s="16" t="s">
        <v>8</v>
      </c>
      <c r="O8" s="16" t="s">
        <v>8</v>
      </c>
      <c r="P8" s="11" t="s">
        <v>17</v>
      </c>
      <c r="Q8" s="4">
        <v>8.6666666666666661</v>
      </c>
      <c r="R8" s="5" t="s">
        <v>1007</v>
      </c>
      <c r="S8" s="5" t="b">
        <f t="shared" si="0"/>
        <v>1</v>
      </c>
    </row>
    <row r="9" spans="1:19" s="5" customFormat="1" ht="42" customHeight="1">
      <c r="A9" s="2">
        <v>7</v>
      </c>
      <c r="B9" s="12">
        <v>2544640309</v>
      </c>
      <c r="C9" s="21">
        <v>250371509020</v>
      </c>
      <c r="D9" s="17">
        <f t="shared" si="1"/>
        <v>250280</v>
      </c>
      <c r="E9" s="22" t="s">
        <v>1008</v>
      </c>
      <c r="F9" s="12" t="s">
        <v>29</v>
      </c>
      <c r="G9" s="14" t="s">
        <v>15</v>
      </c>
      <c r="H9" s="19" t="s">
        <v>85</v>
      </c>
      <c r="I9" s="16" t="s">
        <v>3</v>
      </c>
      <c r="J9" s="16" t="s">
        <v>2</v>
      </c>
      <c r="K9" s="16" t="s">
        <v>4</v>
      </c>
      <c r="L9" s="16" t="s">
        <v>3</v>
      </c>
      <c r="M9" s="16" t="s">
        <v>2</v>
      </c>
      <c r="N9" s="16" t="s">
        <v>8</v>
      </c>
      <c r="O9" s="16" t="s">
        <v>8</v>
      </c>
      <c r="P9" s="11" t="s">
        <v>17</v>
      </c>
      <c r="Q9" s="4">
        <v>8.4444444444444446</v>
      </c>
      <c r="R9" s="5" t="s">
        <v>1008</v>
      </c>
      <c r="S9" s="5" t="b">
        <f t="shared" si="0"/>
        <v>1</v>
      </c>
    </row>
    <row r="10" spans="1:19" s="5" customFormat="1" ht="42" customHeight="1">
      <c r="A10" s="2">
        <v>8</v>
      </c>
      <c r="B10" s="12">
        <v>2544640731</v>
      </c>
      <c r="C10" s="21">
        <v>250371509021</v>
      </c>
      <c r="D10" s="17">
        <f t="shared" si="1"/>
        <v>250281</v>
      </c>
      <c r="E10" s="22" t="s">
        <v>1009</v>
      </c>
      <c r="F10" s="12" t="s">
        <v>29</v>
      </c>
      <c r="G10" s="14" t="s">
        <v>15</v>
      </c>
      <c r="H10" s="19" t="s">
        <v>85</v>
      </c>
      <c r="I10" s="16" t="s">
        <v>5</v>
      </c>
      <c r="J10" s="16" t="s">
        <v>3</v>
      </c>
      <c r="K10" s="16" t="s">
        <v>6</v>
      </c>
      <c r="L10" s="16" t="s">
        <v>4</v>
      </c>
      <c r="M10" s="16" t="s">
        <v>3</v>
      </c>
      <c r="N10" s="16" t="s">
        <v>2</v>
      </c>
      <c r="O10" s="16" t="s">
        <v>2</v>
      </c>
      <c r="P10" s="11" t="s">
        <v>17</v>
      </c>
      <c r="Q10" s="4">
        <v>7.0555555555555554</v>
      </c>
      <c r="R10" s="5" t="s">
        <v>1009</v>
      </c>
      <c r="S10" s="5" t="b">
        <f t="shared" si="0"/>
        <v>1</v>
      </c>
    </row>
    <row r="11" spans="1:19" s="5" customFormat="1" ht="42" customHeight="1">
      <c r="A11" s="2">
        <v>9</v>
      </c>
      <c r="B11" s="12">
        <v>2544640511</v>
      </c>
      <c r="C11" s="21">
        <v>250371509023</v>
      </c>
      <c r="D11" s="17">
        <f t="shared" si="1"/>
        <v>250282</v>
      </c>
      <c r="E11" s="22" t="s">
        <v>1010</v>
      </c>
      <c r="F11" s="12" t="s">
        <v>29</v>
      </c>
      <c r="G11" s="14" t="s">
        <v>15</v>
      </c>
      <c r="H11" s="19" t="s">
        <v>85</v>
      </c>
      <c r="I11" s="16" t="s">
        <v>4</v>
      </c>
      <c r="J11" s="16" t="s">
        <v>3</v>
      </c>
      <c r="K11" s="16" t="s">
        <v>4</v>
      </c>
      <c r="L11" s="16" t="s">
        <v>5</v>
      </c>
      <c r="M11" s="16" t="s">
        <v>6</v>
      </c>
      <c r="N11" s="16" t="s">
        <v>4</v>
      </c>
      <c r="O11" s="16" t="s">
        <v>4</v>
      </c>
      <c r="P11" s="11" t="s">
        <v>17</v>
      </c>
      <c r="Q11" s="4">
        <v>6.8888888888888893</v>
      </c>
      <c r="R11" s="5" t="s">
        <v>1010</v>
      </c>
      <c r="S11" s="5" t="b">
        <f t="shared" si="0"/>
        <v>1</v>
      </c>
    </row>
    <row r="12" spans="1:19" s="5" customFormat="1" ht="42" customHeight="1">
      <c r="A12" s="2">
        <v>10</v>
      </c>
      <c r="B12" s="12">
        <v>2544640248</v>
      </c>
      <c r="C12" s="21">
        <v>250371509024</v>
      </c>
      <c r="D12" s="17">
        <f t="shared" si="1"/>
        <v>250283</v>
      </c>
      <c r="E12" s="22" t="s">
        <v>1011</v>
      </c>
      <c r="F12" s="12" t="s">
        <v>29</v>
      </c>
      <c r="G12" s="14" t="s">
        <v>15</v>
      </c>
      <c r="H12" s="19" t="s">
        <v>85</v>
      </c>
      <c r="I12" s="16" t="s">
        <v>3</v>
      </c>
      <c r="J12" s="16" t="s">
        <v>3</v>
      </c>
      <c r="K12" s="16" t="s">
        <v>3</v>
      </c>
      <c r="L12" s="16" t="s">
        <v>3</v>
      </c>
      <c r="M12" s="16" t="s">
        <v>2</v>
      </c>
      <c r="N12" s="16" t="s">
        <v>2</v>
      </c>
      <c r="O12" s="16" t="s">
        <v>8</v>
      </c>
      <c r="P12" s="11" t="s">
        <v>17</v>
      </c>
      <c r="Q12" s="4">
        <v>8.3333333333333339</v>
      </c>
      <c r="R12" s="5" t="s">
        <v>1011</v>
      </c>
      <c r="S12" s="5" t="b">
        <f t="shared" si="0"/>
        <v>1</v>
      </c>
    </row>
    <row r="13" spans="1:19" s="5" customFormat="1" ht="42" customHeight="1">
      <c r="A13" s="2">
        <v>11</v>
      </c>
      <c r="B13" s="12">
        <v>2544640535</v>
      </c>
      <c r="C13" s="21">
        <v>250371509031</v>
      </c>
      <c r="D13" s="17">
        <f t="shared" si="1"/>
        <v>250284</v>
      </c>
      <c r="E13" s="22" t="s">
        <v>1012</v>
      </c>
      <c r="F13" s="12" t="s">
        <v>29</v>
      </c>
      <c r="G13" s="14" t="s">
        <v>15</v>
      </c>
      <c r="H13" s="19" t="s">
        <v>85</v>
      </c>
      <c r="I13" s="16" t="s">
        <v>4</v>
      </c>
      <c r="J13" s="16" t="s">
        <v>3</v>
      </c>
      <c r="K13" s="16" t="s">
        <v>3</v>
      </c>
      <c r="L13" s="16" t="s">
        <v>6</v>
      </c>
      <c r="M13" s="16" t="s">
        <v>3</v>
      </c>
      <c r="N13" s="16" t="s">
        <v>2</v>
      </c>
      <c r="O13" s="16" t="s">
        <v>2</v>
      </c>
      <c r="P13" s="11" t="s">
        <v>17</v>
      </c>
      <c r="Q13" s="4">
        <v>7.5555555555555554</v>
      </c>
      <c r="R13" s="5" t="s">
        <v>1012</v>
      </c>
      <c r="S13" s="5" t="b">
        <f t="shared" si="0"/>
        <v>1</v>
      </c>
    </row>
    <row r="14" spans="1:19" s="5" customFormat="1" ht="42" customHeight="1">
      <c r="A14" s="2">
        <v>12</v>
      </c>
      <c r="B14" s="12">
        <v>2544640769</v>
      </c>
      <c r="C14" s="21">
        <v>250371509033</v>
      </c>
      <c r="D14" s="17">
        <f t="shared" si="1"/>
        <v>250285</v>
      </c>
      <c r="E14" s="22" t="s">
        <v>1013</v>
      </c>
      <c r="F14" s="12" t="s">
        <v>29</v>
      </c>
      <c r="G14" s="14" t="s">
        <v>15</v>
      </c>
      <c r="H14" s="19" t="s">
        <v>85</v>
      </c>
      <c r="I14" s="16" t="s">
        <v>3</v>
      </c>
      <c r="J14" s="16" t="s">
        <v>4</v>
      </c>
      <c r="K14" s="16" t="s">
        <v>3</v>
      </c>
      <c r="L14" s="16" t="s">
        <v>4</v>
      </c>
      <c r="M14" s="16" t="s">
        <v>3</v>
      </c>
      <c r="N14" s="16" t="s">
        <v>2</v>
      </c>
      <c r="O14" s="16" t="s">
        <v>8</v>
      </c>
      <c r="P14" s="11" t="s">
        <v>17</v>
      </c>
      <c r="Q14" s="4">
        <v>7.9444444444444446</v>
      </c>
      <c r="R14" s="5" t="s">
        <v>1013</v>
      </c>
      <c r="S14" s="5" t="b">
        <f t="shared" si="0"/>
        <v>1</v>
      </c>
    </row>
    <row r="15" spans="1:19" s="5" customFormat="1" ht="42" customHeight="1">
      <c r="A15" s="2">
        <v>13</v>
      </c>
      <c r="B15" s="12">
        <v>2544640790</v>
      </c>
      <c r="C15" s="21">
        <v>250371509034</v>
      </c>
      <c r="D15" s="17">
        <f t="shared" si="1"/>
        <v>250286</v>
      </c>
      <c r="E15" s="22" t="s">
        <v>1014</v>
      </c>
      <c r="F15" s="12" t="s">
        <v>29</v>
      </c>
      <c r="G15" s="14" t="s">
        <v>15</v>
      </c>
      <c r="H15" s="19" t="s">
        <v>85</v>
      </c>
      <c r="I15" s="16" t="s">
        <v>3</v>
      </c>
      <c r="J15" s="16" t="s">
        <v>2</v>
      </c>
      <c r="K15" s="16" t="s">
        <v>3</v>
      </c>
      <c r="L15" s="16" t="s">
        <v>2</v>
      </c>
      <c r="M15" s="16" t="s">
        <v>8</v>
      </c>
      <c r="N15" s="16" t="s">
        <v>2</v>
      </c>
      <c r="O15" s="16" t="s">
        <v>8</v>
      </c>
      <c r="P15" s="11" t="s">
        <v>17</v>
      </c>
      <c r="Q15" s="4">
        <v>8.7222222222222214</v>
      </c>
      <c r="R15" s="5" t="s">
        <v>1014</v>
      </c>
      <c r="S15" s="5" t="b">
        <f t="shared" si="0"/>
        <v>1</v>
      </c>
    </row>
    <row r="16" spans="1:19" s="5" customFormat="1" ht="42" customHeight="1">
      <c r="A16" s="2">
        <v>14</v>
      </c>
      <c r="B16" s="12">
        <v>2544640828</v>
      </c>
      <c r="C16" s="21">
        <v>250371509035</v>
      </c>
      <c r="D16" s="17">
        <f t="shared" si="1"/>
        <v>250287</v>
      </c>
      <c r="E16" s="22" t="s">
        <v>1015</v>
      </c>
      <c r="F16" s="12" t="s">
        <v>29</v>
      </c>
      <c r="G16" s="14" t="s">
        <v>15</v>
      </c>
      <c r="H16" s="19" t="s">
        <v>85</v>
      </c>
      <c r="I16" s="16" t="s">
        <v>2</v>
      </c>
      <c r="J16" s="16" t="s">
        <v>4</v>
      </c>
      <c r="K16" s="16" t="s">
        <v>3</v>
      </c>
      <c r="L16" s="16" t="s">
        <v>3</v>
      </c>
      <c r="M16" s="16" t="s">
        <v>3</v>
      </c>
      <c r="N16" s="16" t="s">
        <v>2</v>
      </c>
      <c r="O16" s="16" t="s">
        <v>2</v>
      </c>
      <c r="P16" s="11" t="s">
        <v>17</v>
      </c>
      <c r="Q16" s="4">
        <v>8.2222222222222214</v>
      </c>
      <c r="R16" s="5" t="s">
        <v>1015</v>
      </c>
      <c r="S16" s="5" t="b">
        <f t="shared" si="0"/>
        <v>1</v>
      </c>
    </row>
    <row r="17" spans="1:19" s="5" customFormat="1" ht="42" customHeight="1">
      <c r="A17" s="2">
        <v>15</v>
      </c>
      <c r="B17" s="12">
        <v>2544640778</v>
      </c>
      <c r="C17" s="21">
        <v>250371509037</v>
      </c>
      <c r="D17" s="17">
        <f t="shared" si="1"/>
        <v>250288</v>
      </c>
      <c r="E17" s="22" t="s">
        <v>1016</v>
      </c>
      <c r="F17" s="12" t="s">
        <v>29</v>
      </c>
      <c r="G17" s="14" t="s">
        <v>15</v>
      </c>
      <c r="H17" s="19" t="s">
        <v>85</v>
      </c>
      <c r="I17" s="16" t="s">
        <v>3</v>
      </c>
      <c r="J17" s="16" t="s">
        <v>3</v>
      </c>
      <c r="K17" s="16" t="s">
        <v>2</v>
      </c>
      <c r="L17" s="16" t="s">
        <v>3</v>
      </c>
      <c r="M17" s="16" t="s">
        <v>2</v>
      </c>
      <c r="N17" s="16" t="s">
        <v>2</v>
      </c>
      <c r="O17" s="16" t="s">
        <v>8</v>
      </c>
      <c r="P17" s="11" t="s">
        <v>17</v>
      </c>
      <c r="Q17" s="4">
        <v>8.5555555555555554</v>
      </c>
      <c r="R17" s="5" t="s">
        <v>1016</v>
      </c>
      <c r="S17" s="5" t="b">
        <f t="shared" si="0"/>
        <v>1</v>
      </c>
    </row>
    <row r="18" spans="1:19" s="5" customFormat="1" ht="42" customHeight="1">
      <c r="A18" s="2">
        <v>16</v>
      </c>
      <c r="B18" s="12">
        <v>2544640413</v>
      </c>
      <c r="C18" s="21">
        <v>250371509046</v>
      </c>
      <c r="D18" s="17">
        <f t="shared" si="1"/>
        <v>250289</v>
      </c>
      <c r="E18" s="22" t="s">
        <v>1017</v>
      </c>
      <c r="F18" s="12" t="s">
        <v>29</v>
      </c>
      <c r="G18" s="14" t="s">
        <v>15</v>
      </c>
      <c r="H18" s="19" t="s">
        <v>85</v>
      </c>
      <c r="I18" s="16" t="s">
        <v>3</v>
      </c>
      <c r="J18" s="16" t="s">
        <v>2</v>
      </c>
      <c r="K18" s="16" t="s">
        <v>3</v>
      </c>
      <c r="L18" s="16" t="s">
        <v>2</v>
      </c>
      <c r="M18" s="16" t="s">
        <v>8</v>
      </c>
      <c r="N18" s="16" t="s">
        <v>8</v>
      </c>
      <c r="O18" s="16" t="s">
        <v>8</v>
      </c>
      <c r="P18" s="11" t="s">
        <v>17</v>
      </c>
      <c r="Q18" s="4">
        <v>8.8888888888888893</v>
      </c>
      <c r="R18" s="5" t="s">
        <v>1017</v>
      </c>
      <c r="S18" s="5" t="b">
        <f t="shared" si="0"/>
        <v>1</v>
      </c>
    </row>
    <row r="19" spans="1:19" s="5" customFormat="1" ht="42" customHeight="1">
      <c r="A19" s="2">
        <v>17</v>
      </c>
      <c r="B19" s="12">
        <v>2544640272</v>
      </c>
      <c r="C19" s="21">
        <v>250371509049</v>
      </c>
      <c r="D19" s="17">
        <f t="shared" si="1"/>
        <v>250290</v>
      </c>
      <c r="E19" s="22" t="s">
        <v>1018</v>
      </c>
      <c r="F19" s="12" t="s">
        <v>29</v>
      </c>
      <c r="G19" s="14" t="s">
        <v>15</v>
      </c>
      <c r="H19" s="19" t="s">
        <v>85</v>
      </c>
      <c r="I19" s="16" t="s">
        <v>6</v>
      </c>
      <c r="J19" s="16" t="s">
        <v>3</v>
      </c>
      <c r="K19" s="16" t="s">
        <v>4</v>
      </c>
      <c r="L19" s="16" t="s">
        <v>4</v>
      </c>
      <c r="M19" s="16" t="s">
        <v>4</v>
      </c>
      <c r="N19" s="16" t="s">
        <v>7</v>
      </c>
      <c r="O19" s="16" t="s">
        <v>3</v>
      </c>
      <c r="P19" s="11" t="s">
        <v>7</v>
      </c>
      <c r="Q19" s="4">
        <v>0</v>
      </c>
      <c r="R19" s="5" t="s">
        <v>1018</v>
      </c>
      <c r="S19" s="5" t="b">
        <f t="shared" si="0"/>
        <v>1</v>
      </c>
    </row>
    <row r="20" spans="1:19" s="5" customFormat="1" ht="42" customHeight="1">
      <c r="A20" s="2">
        <v>18</v>
      </c>
      <c r="B20" s="12">
        <v>2544641104</v>
      </c>
      <c r="C20" s="21">
        <v>250371509055</v>
      </c>
      <c r="D20" s="17">
        <f t="shared" si="1"/>
        <v>250291</v>
      </c>
      <c r="E20" s="22" t="s">
        <v>1019</v>
      </c>
      <c r="F20" s="12" t="s">
        <v>29</v>
      </c>
      <c r="G20" s="14" t="s">
        <v>15</v>
      </c>
      <c r="H20" s="19" t="s">
        <v>85</v>
      </c>
      <c r="I20" s="16" t="s">
        <v>4</v>
      </c>
      <c r="J20" s="16" t="s">
        <v>4</v>
      </c>
      <c r="K20" s="16" t="s">
        <v>4</v>
      </c>
      <c r="L20" s="16" t="s">
        <v>4</v>
      </c>
      <c r="M20" s="16" t="s">
        <v>2</v>
      </c>
      <c r="N20" s="16" t="s">
        <v>2</v>
      </c>
      <c r="O20" s="16" t="s">
        <v>2</v>
      </c>
      <c r="P20" s="11" t="s">
        <v>17</v>
      </c>
      <c r="Q20" s="4">
        <v>7.5555555555555554</v>
      </c>
      <c r="R20" s="5" t="s">
        <v>1019</v>
      </c>
      <c r="S20" s="5" t="b">
        <f t="shared" si="0"/>
        <v>1</v>
      </c>
    </row>
    <row r="21" spans="1:19" s="5" customFormat="1" ht="42" customHeight="1">
      <c r="A21" s="2">
        <v>19</v>
      </c>
      <c r="B21" s="12">
        <v>2544640316</v>
      </c>
      <c r="C21" s="21">
        <v>250371509057</v>
      </c>
      <c r="D21" s="17">
        <f t="shared" si="1"/>
        <v>250292</v>
      </c>
      <c r="E21" s="22" t="s">
        <v>1020</v>
      </c>
      <c r="F21" s="12" t="s">
        <v>29</v>
      </c>
      <c r="G21" s="14" t="s">
        <v>15</v>
      </c>
      <c r="H21" s="19" t="s">
        <v>85</v>
      </c>
      <c r="I21" s="16" t="s">
        <v>4</v>
      </c>
      <c r="J21" s="16" t="s">
        <v>3</v>
      </c>
      <c r="K21" s="16" t="s">
        <v>2</v>
      </c>
      <c r="L21" s="16" t="s">
        <v>2</v>
      </c>
      <c r="M21" s="16" t="s">
        <v>3</v>
      </c>
      <c r="N21" s="16" t="s">
        <v>8</v>
      </c>
      <c r="O21" s="16" t="s">
        <v>8</v>
      </c>
      <c r="P21" s="11" t="s">
        <v>17</v>
      </c>
      <c r="Q21" s="4">
        <v>8.6666666666666661</v>
      </c>
      <c r="R21" s="5" t="s">
        <v>1020</v>
      </c>
      <c r="S21" s="5" t="b">
        <f t="shared" si="0"/>
        <v>1</v>
      </c>
    </row>
    <row r="22" spans="1:19" s="5" customFormat="1" ht="42" customHeight="1">
      <c r="A22" s="2">
        <v>20</v>
      </c>
      <c r="B22" s="12">
        <v>2544641073</v>
      </c>
      <c r="C22" s="21">
        <v>250371509058</v>
      </c>
      <c r="D22" s="17">
        <f t="shared" si="1"/>
        <v>250293</v>
      </c>
      <c r="E22" s="22" t="s">
        <v>1021</v>
      </c>
      <c r="F22" s="12" t="s">
        <v>29</v>
      </c>
      <c r="G22" s="14" t="s">
        <v>15</v>
      </c>
      <c r="H22" s="19" t="s">
        <v>85</v>
      </c>
      <c r="I22" s="16" t="s">
        <v>4</v>
      </c>
      <c r="J22" s="16" t="s">
        <v>2</v>
      </c>
      <c r="K22" s="16" t="s">
        <v>3</v>
      </c>
      <c r="L22" s="16" t="s">
        <v>8</v>
      </c>
      <c r="M22" s="16" t="s">
        <v>8</v>
      </c>
      <c r="N22" s="16" t="s">
        <v>8</v>
      </c>
      <c r="O22" s="16" t="s">
        <v>8</v>
      </c>
      <c r="P22" s="11" t="s">
        <v>17</v>
      </c>
      <c r="Q22" s="4">
        <v>8.8888888888888893</v>
      </c>
      <c r="R22" s="5" t="s">
        <v>1021</v>
      </c>
      <c r="S22" s="5" t="b">
        <f t="shared" si="0"/>
        <v>1</v>
      </c>
    </row>
    <row r="23" spans="1:19" s="5" customFormat="1" ht="42" customHeight="1">
      <c r="A23" s="2">
        <v>21</v>
      </c>
      <c r="B23" s="12">
        <v>2544640361</v>
      </c>
      <c r="C23" s="21">
        <v>250371509059</v>
      </c>
      <c r="D23" s="17">
        <f t="shared" si="1"/>
        <v>250294</v>
      </c>
      <c r="E23" s="22" t="s">
        <v>1545</v>
      </c>
      <c r="F23" s="12" t="s">
        <v>29</v>
      </c>
      <c r="G23" s="14" t="s">
        <v>15</v>
      </c>
      <c r="H23" s="19" t="s">
        <v>85</v>
      </c>
      <c r="I23" s="16" t="s">
        <v>3</v>
      </c>
      <c r="J23" s="16" t="s">
        <v>3</v>
      </c>
      <c r="K23" s="16" t="s">
        <v>3</v>
      </c>
      <c r="L23" s="16" t="s">
        <v>3</v>
      </c>
      <c r="M23" s="16" t="s">
        <v>3</v>
      </c>
      <c r="N23" s="16" t="s">
        <v>3</v>
      </c>
      <c r="O23" s="16" t="s">
        <v>8</v>
      </c>
      <c r="P23" s="11" t="s">
        <v>17</v>
      </c>
      <c r="Q23" s="4">
        <v>8.1111111111111107</v>
      </c>
      <c r="R23" s="5" t="s">
        <v>1545</v>
      </c>
      <c r="S23" s="5" t="b">
        <f t="shared" si="0"/>
        <v>1</v>
      </c>
    </row>
    <row r="24" spans="1:19" s="5" customFormat="1" ht="42" customHeight="1">
      <c r="A24" s="2">
        <v>22</v>
      </c>
      <c r="B24" s="12">
        <v>2544640609</v>
      </c>
      <c r="C24" s="21">
        <v>250371509068</v>
      </c>
      <c r="D24" s="17">
        <f t="shared" si="1"/>
        <v>250295</v>
      </c>
      <c r="E24" s="22" t="s">
        <v>1022</v>
      </c>
      <c r="F24" s="12" t="s">
        <v>29</v>
      </c>
      <c r="G24" s="14" t="s">
        <v>15</v>
      </c>
      <c r="H24" s="19" t="s">
        <v>85</v>
      </c>
      <c r="I24" s="16" t="s">
        <v>4</v>
      </c>
      <c r="J24" s="16" t="s">
        <v>3</v>
      </c>
      <c r="K24" s="16" t="s">
        <v>3</v>
      </c>
      <c r="L24" s="16" t="s">
        <v>2</v>
      </c>
      <c r="M24" s="16" t="s">
        <v>3</v>
      </c>
      <c r="N24" s="16" t="s">
        <v>8</v>
      </c>
      <c r="O24" s="16" t="s">
        <v>2</v>
      </c>
      <c r="P24" s="11" t="s">
        <v>17</v>
      </c>
      <c r="Q24" s="4">
        <v>8.3888888888888893</v>
      </c>
      <c r="R24" s="5" t="s">
        <v>1022</v>
      </c>
      <c r="S24" s="5" t="b">
        <f t="shared" si="0"/>
        <v>1</v>
      </c>
    </row>
    <row r="25" spans="1:19" s="5" customFormat="1" ht="42" customHeight="1">
      <c r="A25" s="2">
        <v>23</v>
      </c>
      <c r="B25" s="12">
        <v>2544641113</v>
      </c>
      <c r="C25" s="21">
        <v>250371509070</v>
      </c>
      <c r="D25" s="17">
        <f t="shared" si="1"/>
        <v>250296</v>
      </c>
      <c r="E25" s="22" t="s">
        <v>1023</v>
      </c>
      <c r="F25" s="12" t="s">
        <v>29</v>
      </c>
      <c r="G25" s="14" t="s">
        <v>15</v>
      </c>
      <c r="H25" s="19" t="s">
        <v>85</v>
      </c>
      <c r="I25" s="16" t="s">
        <v>4</v>
      </c>
      <c r="J25" s="16" t="s">
        <v>3</v>
      </c>
      <c r="K25" s="16" t="s">
        <v>4</v>
      </c>
      <c r="L25" s="16" t="s">
        <v>3</v>
      </c>
      <c r="M25" s="16" t="s">
        <v>3</v>
      </c>
      <c r="N25" s="16" t="s">
        <v>3</v>
      </c>
      <c r="O25" s="16" t="s">
        <v>3</v>
      </c>
      <c r="P25" s="11" t="s">
        <v>17</v>
      </c>
      <c r="Q25" s="4">
        <v>7.6111111111111107</v>
      </c>
      <c r="R25" s="5" t="s">
        <v>1023</v>
      </c>
      <c r="S25" s="5" t="b">
        <f t="shared" si="0"/>
        <v>1</v>
      </c>
    </row>
    <row r="26" spans="1:19" s="5" customFormat="1" ht="42" customHeight="1">
      <c r="A26" s="2">
        <v>24</v>
      </c>
      <c r="B26" s="12">
        <v>2544640326</v>
      </c>
      <c r="C26" s="21">
        <v>250371509076</v>
      </c>
      <c r="D26" s="17">
        <f t="shared" si="1"/>
        <v>250297</v>
      </c>
      <c r="E26" s="22" t="s">
        <v>1024</v>
      </c>
      <c r="F26" s="12" t="s">
        <v>29</v>
      </c>
      <c r="G26" s="14" t="s">
        <v>15</v>
      </c>
      <c r="H26" s="19" t="s">
        <v>85</v>
      </c>
      <c r="I26" s="16" t="s">
        <v>4</v>
      </c>
      <c r="J26" s="16" t="s">
        <v>2</v>
      </c>
      <c r="K26" s="16" t="s">
        <v>3</v>
      </c>
      <c r="L26" s="16" t="s">
        <v>2</v>
      </c>
      <c r="M26" s="16" t="s">
        <v>2</v>
      </c>
      <c r="N26" s="16" t="s">
        <v>8</v>
      </c>
      <c r="O26" s="16" t="s">
        <v>8</v>
      </c>
      <c r="P26" s="11" t="s">
        <v>17</v>
      </c>
      <c r="Q26" s="4">
        <v>8.6666666666666661</v>
      </c>
      <c r="R26" s="5" t="s">
        <v>1024</v>
      </c>
      <c r="S26" s="5" t="b">
        <f t="shared" si="0"/>
        <v>1</v>
      </c>
    </row>
    <row r="27" spans="1:19" s="5" customFormat="1" ht="42" customHeight="1">
      <c r="A27" s="2">
        <v>25</v>
      </c>
      <c r="B27" s="12">
        <v>2544640664</v>
      </c>
      <c r="C27" s="21">
        <v>250371509077</v>
      </c>
      <c r="D27" s="17">
        <f t="shared" si="1"/>
        <v>250298</v>
      </c>
      <c r="E27" s="22" t="s">
        <v>1025</v>
      </c>
      <c r="F27" s="12" t="s">
        <v>29</v>
      </c>
      <c r="G27" s="14" t="s">
        <v>15</v>
      </c>
      <c r="H27" s="19" t="s">
        <v>85</v>
      </c>
      <c r="I27" s="16" t="s">
        <v>3</v>
      </c>
      <c r="J27" s="16" t="s">
        <v>2</v>
      </c>
      <c r="K27" s="16" t="s">
        <v>3</v>
      </c>
      <c r="L27" s="16" t="s">
        <v>3</v>
      </c>
      <c r="M27" s="16" t="s">
        <v>4</v>
      </c>
      <c r="N27" s="16" t="s">
        <v>2</v>
      </c>
      <c r="O27" s="16" t="s">
        <v>8</v>
      </c>
      <c r="P27" s="11" t="s">
        <v>17</v>
      </c>
      <c r="Q27" s="4">
        <v>8.3888888888888893</v>
      </c>
      <c r="R27" s="5" t="s">
        <v>1025</v>
      </c>
      <c r="S27" s="5" t="b">
        <f t="shared" si="0"/>
        <v>1</v>
      </c>
    </row>
    <row r="28" spans="1:19" s="5" customFormat="1" ht="42" customHeight="1">
      <c r="A28" s="2">
        <v>26</v>
      </c>
      <c r="B28" s="12">
        <v>2544640504</v>
      </c>
      <c r="C28" s="21">
        <v>250371509079</v>
      </c>
      <c r="D28" s="17">
        <f t="shared" si="1"/>
        <v>250299</v>
      </c>
      <c r="E28" s="22" t="s">
        <v>1026</v>
      </c>
      <c r="F28" s="12" t="s">
        <v>29</v>
      </c>
      <c r="G28" s="14" t="s">
        <v>15</v>
      </c>
      <c r="H28" s="19" t="s">
        <v>85</v>
      </c>
      <c r="I28" s="16" t="s">
        <v>4</v>
      </c>
      <c r="J28" s="16" t="s">
        <v>5</v>
      </c>
      <c r="K28" s="16" t="s">
        <v>3</v>
      </c>
      <c r="L28" s="16" t="s">
        <v>4</v>
      </c>
      <c r="M28" s="16" t="s">
        <v>2</v>
      </c>
      <c r="N28" s="16" t="s">
        <v>3</v>
      </c>
      <c r="O28" s="16" t="s">
        <v>8</v>
      </c>
      <c r="P28" s="11" t="s">
        <v>17</v>
      </c>
      <c r="Q28" s="4">
        <v>7.5</v>
      </c>
      <c r="R28" s="5" t="s">
        <v>1026</v>
      </c>
      <c r="S28" s="5" t="b">
        <f t="shared" si="0"/>
        <v>1</v>
      </c>
    </row>
    <row r="29" spans="1:19" s="5" customFormat="1" ht="42" customHeight="1">
      <c r="A29" s="2">
        <v>27</v>
      </c>
      <c r="B29" s="12">
        <v>2544640291</v>
      </c>
      <c r="C29" s="21">
        <v>250371509083</v>
      </c>
      <c r="D29" s="17">
        <f t="shared" si="1"/>
        <v>250300</v>
      </c>
      <c r="E29" s="22" t="s">
        <v>1027</v>
      </c>
      <c r="F29" s="12" t="s">
        <v>29</v>
      </c>
      <c r="G29" s="14" t="s">
        <v>15</v>
      </c>
      <c r="H29" s="19" t="s">
        <v>85</v>
      </c>
      <c r="I29" s="16" t="s">
        <v>5</v>
      </c>
      <c r="J29" s="16" t="s">
        <v>4</v>
      </c>
      <c r="K29" s="16" t="s">
        <v>4</v>
      </c>
      <c r="L29" s="16" t="s">
        <v>3</v>
      </c>
      <c r="M29" s="16" t="s">
        <v>3</v>
      </c>
      <c r="N29" s="16" t="s">
        <v>3</v>
      </c>
      <c r="O29" s="16" t="s">
        <v>8</v>
      </c>
      <c r="P29" s="11" t="s">
        <v>17</v>
      </c>
      <c r="Q29" s="4">
        <v>7.3888888888888893</v>
      </c>
      <c r="R29" s="5" t="s">
        <v>1027</v>
      </c>
      <c r="S29" s="5" t="b">
        <f t="shared" si="0"/>
        <v>1</v>
      </c>
    </row>
    <row r="30" spans="1:19" s="5" customFormat="1" ht="42" customHeight="1">
      <c r="A30" s="2">
        <v>28</v>
      </c>
      <c r="B30" s="12">
        <v>2544640851</v>
      </c>
      <c r="C30" s="21">
        <v>250371509085</v>
      </c>
      <c r="D30" s="17">
        <f t="shared" si="1"/>
        <v>250301</v>
      </c>
      <c r="E30" s="22" t="s">
        <v>1028</v>
      </c>
      <c r="F30" s="12" t="s">
        <v>29</v>
      </c>
      <c r="G30" s="14" t="s">
        <v>15</v>
      </c>
      <c r="H30" s="19" t="s">
        <v>85</v>
      </c>
      <c r="I30" s="16" t="s">
        <v>4</v>
      </c>
      <c r="J30" s="16" t="s">
        <v>11</v>
      </c>
      <c r="K30" s="16" t="s">
        <v>4</v>
      </c>
      <c r="L30" s="16" t="s">
        <v>2</v>
      </c>
      <c r="M30" s="16" t="s">
        <v>3</v>
      </c>
      <c r="N30" s="16" t="s">
        <v>3</v>
      </c>
      <c r="O30" s="16" t="s">
        <v>3</v>
      </c>
      <c r="P30" s="11" t="s">
        <v>17</v>
      </c>
      <c r="Q30" s="4">
        <v>7.1111111111111107</v>
      </c>
      <c r="R30" s="5" t="s">
        <v>1028</v>
      </c>
      <c r="S30" s="5" t="b">
        <f t="shared" si="0"/>
        <v>1</v>
      </c>
    </row>
    <row r="31" spans="1:19" s="5" customFormat="1" ht="42" customHeight="1">
      <c r="A31" s="2">
        <v>29</v>
      </c>
      <c r="B31" s="12">
        <v>2544640808</v>
      </c>
      <c r="C31" s="21">
        <v>250371509090</v>
      </c>
      <c r="D31" s="17">
        <f t="shared" si="1"/>
        <v>250302</v>
      </c>
      <c r="E31" s="22" t="s">
        <v>1029</v>
      </c>
      <c r="F31" s="12" t="s">
        <v>29</v>
      </c>
      <c r="G31" s="14" t="s">
        <v>15</v>
      </c>
      <c r="H31" s="19" t="s">
        <v>85</v>
      </c>
      <c r="I31" s="16" t="s">
        <v>4</v>
      </c>
      <c r="J31" s="16" t="s">
        <v>6</v>
      </c>
      <c r="K31" s="16" t="s">
        <v>3</v>
      </c>
      <c r="L31" s="16" t="s">
        <v>4</v>
      </c>
      <c r="M31" s="16" t="s">
        <v>3</v>
      </c>
      <c r="N31" s="16" t="s">
        <v>4</v>
      </c>
      <c r="O31" s="16" t="s">
        <v>8</v>
      </c>
      <c r="P31" s="11" t="s">
        <v>17</v>
      </c>
      <c r="Q31" s="4">
        <v>7.1111111111111107</v>
      </c>
      <c r="R31" s="5" t="s">
        <v>1029</v>
      </c>
      <c r="S31" s="5" t="b">
        <f t="shared" si="0"/>
        <v>1</v>
      </c>
    </row>
    <row r="32" spans="1:19" s="5" customFormat="1" ht="42" customHeight="1">
      <c r="A32" s="2">
        <v>30</v>
      </c>
      <c r="B32" s="12">
        <v>2544640757</v>
      </c>
      <c r="C32" s="21">
        <v>250371509091</v>
      </c>
      <c r="D32" s="17">
        <f t="shared" si="1"/>
        <v>250303</v>
      </c>
      <c r="E32" s="22" t="s">
        <v>1030</v>
      </c>
      <c r="F32" s="12" t="s">
        <v>29</v>
      </c>
      <c r="G32" s="14" t="s">
        <v>15</v>
      </c>
      <c r="H32" s="19" t="s">
        <v>85</v>
      </c>
      <c r="I32" s="16" t="s">
        <v>4</v>
      </c>
      <c r="J32" s="16" t="s">
        <v>3</v>
      </c>
      <c r="K32" s="16" t="s">
        <v>2</v>
      </c>
      <c r="L32" s="16" t="s">
        <v>2</v>
      </c>
      <c r="M32" s="16" t="s">
        <v>8</v>
      </c>
      <c r="N32" s="16" t="s">
        <v>3</v>
      </c>
      <c r="O32" s="16" t="s">
        <v>8</v>
      </c>
      <c r="P32" s="11" t="s">
        <v>17</v>
      </c>
      <c r="Q32" s="4">
        <v>8.4444444444444446</v>
      </c>
      <c r="R32" s="5" t="s">
        <v>1030</v>
      </c>
      <c r="S32" s="5" t="b">
        <f t="shared" si="0"/>
        <v>1</v>
      </c>
    </row>
    <row r="33" spans="1:19" s="5" customFormat="1" ht="42" customHeight="1">
      <c r="A33" s="2">
        <v>31</v>
      </c>
      <c r="B33" s="12">
        <v>2544641045</v>
      </c>
      <c r="C33" s="21">
        <v>250371509099</v>
      </c>
      <c r="D33" s="17">
        <f t="shared" si="1"/>
        <v>250304</v>
      </c>
      <c r="E33" s="22" t="s">
        <v>1031</v>
      </c>
      <c r="F33" s="12" t="s">
        <v>29</v>
      </c>
      <c r="G33" s="14" t="s">
        <v>15</v>
      </c>
      <c r="H33" s="19" t="s">
        <v>85</v>
      </c>
      <c r="I33" s="16" t="s">
        <v>3</v>
      </c>
      <c r="J33" s="16" t="s">
        <v>3</v>
      </c>
      <c r="K33" s="16" t="s">
        <v>4</v>
      </c>
      <c r="L33" s="16" t="s">
        <v>4</v>
      </c>
      <c r="M33" s="16" t="s">
        <v>3</v>
      </c>
      <c r="N33" s="16" t="s">
        <v>2</v>
      </c>
      <c r="O33" s="16" t="s">
        <v>8</v>
      </c>
      <c r="P33" s="11" t="s">
        <v>17</v>
      </c>
      <c r="Q33" s="4">
        <v>7.8888888888888893</v>
      </c>
      <c r="R33" s="5" t="s">
        <v>1031</v>
      </c>
      <c r="S33" s="5" t="b">
        <f t="shared" si="0"/>
        <v>1</v>
      </c>
    </row>
    <row r="34" spans="1:19" s="5" customFormat="1" ht="42" customHeight="1">
      <c r="A34" s="2">
        <v>32</v>
      </c>
      <c r="B34" s="12">
        <v>2544640772</v>
      </c>
      <c r="C34" s="21">
        <v>250371509101</v>
      </c>
      <c r="D34" s="17">
        <f t="shared" si="1"/>
        <v>250305</v>
      </c>
      <c r="E34" s="22" t="s">
        <v>1032</v>
      </c>
      <c r="F34" s="12" t="s">
        <v>29</v>
      </c>
      <c r="G34" s="14" t="s">
        <v>15</v>
      </c>
      <c r="H34" s="19" t="s">
        <v>85</v>
      </c>
      <c r="I34" s="16" t="s">
        <v>4</v>
      </c>
      <c r="J34" s="16" t="s">
        <v>4</v>
      </c>
      <c r="K34" s="16" t="s">
        <v>3</v>
      </c>
      <c r="L34" s="16" t="s">
        <v>4</v>
      </c>
      <c r="M34" s="16" t="s">
        <v>4</v>
      </c>
      <c r="N34" s="16" t="s">
        <v>3</v>
      </c>
      <c r="O34" s="16" t="s">
        <v>8</v>
      </c>
      <c r="P34" s="11" t="s">
        <v>17</v>
      </c>
      <c r="Q34" s="4">
        <v>7.5555555555555554</v>
      </c>
      <c r="R34" s="5" t="s">
        <v>1032</v>
      </c>
      <c r="S34" s="5" t="b">
        <f t="shared" si="0"/>
        <v>1</v>
      </c>
    </row>
    <row r="35" spans="1:19" s="5" customFormat="1" ht="42" customHeight="1">
      <c r="A35" s="2">
        <v>33</v>
      </c>
      <c r="B35" s="12">
        <v>2544640667</v>
      </c>
      <c r="C35" s="21">
        <v>250371509104</v>
      </c>
      <c r="D35" s="17">
        <f t="shared" si="1"/>
        <v>250306</v>
      </c>
      <c r="E35" s="22" t="s">
        <v>1033</v>
      </c>
      <c r="F35" s="12" t="s">
        <v>29</v>
      </c>
      <c r="G35" s="14" t="s">
        <v>15</v>
      </c>
      <c r="H35" s="19" t="s">
        <v>85</v>
      </c>
      <c r="I35" s="16" t="s">
        <v>5</v>
      </c>
      <c r="J35" s="16" t="s">
        <v>4</v>
      </c>
      <c r="K35" s="16" t="s">
        <v>4</v>
      </c>
      <c r="L35" s="16" t="s">
        <v>5</v>
      </c>
      <c r="M35" s="16" t="s">
        <v>3</v>
      </c>
      <c r="N35" s="16" t="s">
        <v>1517</v>
      </c>
      <c r="O35" s="16" t="s">
        <v>2</v>
      </c>
      <c r="P35" s="11" t="s">
        <v>1517</v>
      </c>
      <c r="Q35" s="4">
        <v>0</v>
      </c>
      <c r="R35" s="5" t="s">
        <v>1033</v>
      </c>
      <c r="S35" s="5" t="b">
        <f t="shared" si="0"/>
        <v>1</v>
      </c>
    </row>
    <row r="36" spans="1:19" s="5" customFormat="1" ht="42" customHeight="1">
      <c r="A36" s="2">
        <v>34</v>
      </c>
      <c r="B36" s="12">
        <v>2544640319</v>
      </c>
      <c r="C36" s="21">
        <v>250371509106</v>
      </c>
      <c r="D36" s="17">
        <f t="shared" si="1"/>
        <v>250307</v>
      </c>
      <c r="E36" s="22" t="s">
        <v>1034</v>
      </c>
      <c r="F36" s="12" t="s">
        <v>29</v>
      </c>
      <c r="G36" s="14" t="s">
        <v>15</v>
      </c>
      <c r="H36" s="19" t="s">
        <v>85</v>
      </c>
      <c r="I36" s="16" t="s">
        <v>4</v>
      </c>
      <c r="J36" s="16" t="s">
        <v>4</v>
      </c>
      <c r="K36" s="16" t="s">
        <v>4</v>
      </c>
      <c r="L36" s="16" t="s">
        <v>2</v>
      </c>
      <c r="M36" s="16" t="s">
        <v>2</v>
      </c>
      <c r="N36" s="16" t="s">
        <v>1517</v>
      </c>
      <c r="O36" s="16" t="s">
        <v>8</v>
      </c>
      <c r="P36" s="11" t="s">
        <v>1517</v>
      </c>
      <c r="Q36" s="4">
        <v>0</v>
      </c>
      <c r="R36" s="5" t="s">
        <v>1034</v>
      </c>
      <c r="S36" s="5" t="b">
        <f t="shared" si="0"/>
        <v>1</v>
      </c>
    </row>
    <row r="37" spans="1:19" s="5" customFormat="1" ht="42" customHeight="1">
      <c r="A37" s="2">
        <v>35</v>
      </c>
      <c r="B37" s="12">
        <v>2544640368</v>
      </c>
      <c r="C37" s="21">
        <v>250371509107</v>
      </c>
      <c r="D37" s="17">
        <f t="shared" si="1"/>
        <v>250308</v>
      </c>
      <c r="E37" s="22" t="s">
        <v>1035</v>
      </c>
      <c r="F37" s="12" t="s">
        <v>29</v>
      </c>
      <c r="G37" s="14" t="s">
        <v>15</v>
      </c>
      <c r="H37" s="19" t="s">
        <v>85</v>
      </c>
      <c r="I37" s="16" t="s">
        <v>4</v>
      </c>
      <c r="J37" s="16" t="s">
        <v>3</v>
      </c>
      <c r="K37" s="16" t="s">
        <v>4</v>
      </c>
      <c r="L37" s="16" t="s">
        <v>4</v>
      </c>
      <c r="M37" s="16" t="s">
        <v>2</v>
      </c>
      <c r="N37" s="16" t="s">
        <v>3</v>
      </c>
      <c r="O37" s="16" t="s">
        <v>8</v>
      </c>
      <c r="P37" s="11" t="s">
        <v>17</v>
      </c>
      <c r="Q37" s="4">
        <v>7.6111111111111107</v>
      </c>
      <c r="R37" s="5" t="s">
        <v>1035</v>
      </c>
      <c r="S37" s="5" t="b">
        <f t="shared" si="0"/>
        <v>1</v>
      </c>
    </row>
    <row r="38" spans="1:19" s="5" customFormat="1" ht="42" customHeight="1">
      <c r="A38" s="2">
        <v>36</v>
      </c>
      <c r="B38" s="12">
        <v>2544640418</v>
      </c>
      <c r="C38" s="21">
        <v>250371509108</v>
      </c>
      <c r="D38" s="17">
        <f t="shared" si="1"/>
        <v>250309</v>
      </c>
      <c r="E38" s="22" t="s">
        <v>1036</v>
      </c>
      <c r="F38" s="12" t="s">
        <v>29</v>
      </c>
      <c r="G38" s="14" t="s">
        <v>15</v>
      </c>
      <c r="H38" s="19" t="s">
        <v>85</v>
      </c>
      <c r="I38" s="16" t="s">
        <v>5</v>
      </c>
      <c r="J38" s="16" t="s">
        <v>6</v>
      </c>
      <c r="K38" s="16" t="s">
        <v>5</v>
      </c>
      <c r="L38" s="16" t="s">
        <v>3</v>
      </c>
      <c r="M38" s="16" t="s">
        <v>6</v>
      </c>
      <c r="N38" s="16" t="s">
        <v>3</v>
      </c>
      <c r="O38" s="16" t="s">
        <v>2</v>
      </c>
      <c r="P38" s="11" t="s">
        <v>17</v>
      </c>
      <c r="Q38" s="4">
        <v>6.6111111111111107</v>
      </c>
      <c r="R38" s="5" t="s">
        <v>1036</v>
      </c>
      <c r="S38" s="5" t="b">
        <f t="shared" si="0"/>
        <v>1</v>
      </c>
    </row>
    <row r="39" spans="1:19" s="5" customFormat="1" ht="42" customHeight="1">
      <c r="A39" s="2">
        <v>37</v>
      </c>
      <c r="B39" s="12">
        <v>2544640425</v>
      </c>
      <c r="C39" s="21">
        <v>250371509109</v>
      </c>
      <c r="D39" s="17">
        <f t="shared" si="1"/>
        <v>250310</v>
      </c>
      <c r="E39" s="22" t="s">
        <v>1037</v>
      </c>
      <c r="F39" s="12" t="s">
        <v>29</v>
      </c>
      <c r="G39" s="14" t="s">
        <v>15</v>
      </c>
      <c r="H39" s="19" t="s">
        <v>85</v>
      </c>
      <c r="I39" s="16" t="s">
        <v>4</v>
      </c>
      <c r="J39" s="16" t="s">
        <v>3</v>
      </c>
      <c r="K39" s="16" t="s">
        <v>5</v>
      </c>
      <c r="L39" s="16" t="s">
        <v>3</v>
      </c>
      <c r="M39" s="16" t="s">
        <v>6</v>
      </c>
      <c r="N39" s="16" t="s">
        <v>3</v>
      </c>
      <c r="O39" s="16" t="s">
        <v>3</v>
      </c>
      <c r="P39" s="11" t="s">
        <v>17</v>
      </c>
      <c r="Q39" s="4">
        <v>7.2222222222222223</v>
      </c>
      <c r="R39" s="5" t="s">
        <v>1037</v>
      </c>
      <c r="S39" s="5" t="b">
        <f t="shared" si="0"/>
        <v>1</v>
      </c>
    </row>
    <row r="40" spans="1:19" s="5" customFormat="1" ht="42" customHeight="1">
      <c r="A40" s="2">
        <v>38</v>
      </c>
      <c r="B40" s="12">
        <v>2544640826</v>
      </c>
      <c r="C40" s="21">
        <v>250371509116</v>
      </c>
      <c r="D40" s="17">
        <f t="shared" si="1"/>
        <v>250311</v>
      </c>
      <c r="E40" s="22" t="s">
        <v>1038</v>
      </c>
      <c r="F40" s="12" t="s">
        <v>29</v>
      </c>
      <c r="G40" s="14" t="s">
        <v>15</v>
      </c>
      <c r="H40" s="19" t="s">
        <v>85</v>
      </c>
      <c r="I40" s="16" t="s">
        <v>4</v>
      </c>
      <c r="J40" s="16" t="s">
        <v>4</v>
      </c>
      <c r="K40" s="16" t="s">
        <v>4</v>
      </c>
      <c r="L40" s="16" t="s">
        <v>3</v>
      </c>
      <c r="M40" s="16" t="s">
        <v>2</v>
      </c>
      <c r="N40" s="16" t="s">
        <v>2</v>
      </c>
      <c r="O40" s="16" t="s">
        <v>8</v>
      </c>
      <c r="P40" s="11" t="s">
        <v>17</v>
      </c>
      <c r="Q40" s="4">
        <v>7.7777777777777777</v>
      </c>
      <c r="R40" s="5" t="s">
        <v>1038</v>
      </c>
      <c r="S40" s="5" t="b">
        <f t="shared" si="0"/>
        <v>1</v>
      </c>
    </row>
    <row r="41" spans="1:19" s="5" customFormat="1" ht="42" customHeight="1">
      <c r="A41" s="2">
        <v>39</v>
      </c>
      <c r="B41" s="12">
        <v>2544641122</v>
      </c>
      <c r="C41" s="21">
        <v>250371509121</v>
      </c>
      <c r="D41" s="17">
        <f t="shared" si="1"/>
        <v>250312</v>
      </c>
      <c r="E41" s="22" t="s">
        <v>1039</v>
      </c>
      <c r="F41" s="12" t="s">
        <v>29</v>
      </c>
      <c r="G41" s="14" t="s">
        <v>15</v>
      </c>
      <c r="H41" s="19" t="s">
        <v>85</v>
      </c>
      <c r="I41" s="16" t="s">
        <v>1516</v>
      </c>
      <c r="J41" s="16" t="s">
        <v>1516</v>
      </c>
      <c r="K41" s="16" t="s">
        <v>1516</v>
      </c>
      <c r="L41" s="16" t="s">
        <v>1516</v>
      </c>
      <c r="M41" s="16" t="s">
        <v>1516</v>
      </c>
      <c r="N41" s="16" t="s">
        <v>1516</v>
      </c>
      <c r="O41" s="16" t="s">
        <v>1516</v>
      </c>
      <c r="P41" s="11" t="s">
        <v>1516</v>
      </c>
      <c r="Q41" s="4">
        <v>0</v>
      </c>
      <c r="R41" s="5" t="s">
        <v>1039</v>
      </c>
      <c r="S41" s="5" t="b">
        <f t="shared" si="0"/>
        <v>1</v>
      </c>
    </row>
    <row r="42" spans="1:19" s="5" customFormat="1" ht="42" customHeight="1">
      <c r="A42" s="2">
        <v>40</v>
      </c>
      <c r="B42" s="12">
        <v>2544640842</v>
      </c>
      <c r="C42" s="21">
        <v>250371509123</v>
      </c>
      <c r="D42" s="17">
        <f t="shared" si="1"/>
        <v>250313</v>
      </c>
      <c r="E42" s="22" t="s">
        <v>1040</v>
      </c>
      <c r="F42" s="12" t="s">
        <v>29</v>
      </c>
      <c r="G42" s="14" t="s">
        <v>15</v>
      </c>
      <c r="H42" s="19" t="s">
        <v>85</v>
      </c>
      <c r="I42" s="16" t="s">
        <v>6</v>
      </c>
      <c r="J42" s="16" t="s">
        <v>3</v>
      </c>
      <c r="K42" s="16" t="s">
        <v>3</v>
      </c>
      <c r="L42" s="16" t="s">
        <v>2</v>
      </c>
      <c r="M42" s="16" t="s">
        <v>8</v>
      </c>
      <c r="N42" s="16" t="s">
        <v>2</v>
      </c>
      <c r="O42" s="16" t="s">
        <v>8</v>
      </c>
      <c r="P42" s="11" t="s">
        <v>17</v>
      </c>
      <c r="Q42" s="4">
        <v>8.0555555555555554</v>
      </c>
      <c r="R42" s="5" t="s">
        <v>1040</v>
      </c>
      <c r="S42" s="5" t="b">
        <f t="shared" si="0"/>
        <v>1</v>
      </c>
    </row>
    <row r="43" spans="1:19" s="5" customFormat="1" ht="42" customHeight="1">
      <c r="A43" s="2">
        <v>41</v>
      </c>
      <c r="B43" s="12">
        <v>2544641105</v>
      </c>
      <c r="C43" s="21">
        <v>250371509125</v>
      </c>
      <c r="D43" s="17">
        <f t="shared" si="1"/>
        <v>250314</v>
      </c>
      <c r="E43" s="22" t="s">
        <v>1041</v>
      </c>
      <c r="F43" s="12" t="s">
        <v>29</v>
      </c>
      <c r="G43" s="14" t="s">
        <v>15</v>
      </c>
      <c r="H43" s="19" t="s">
        <v>85</v>
      </c>
      <c r="I43" s="16" t="s">
        <v>5</v>
      </c>
      <c r="J43" s="16" t="s">
        <v>4</v>
      </c>
      <c r="K43" s="16" t="s">
        <v>4</v>
      </c>
      <c r="L43" s="16" t="s">
        <v>6</v>
      </c>
      <c r="M43" s="16" t="s">
        <v>3</v>
      </c>
      <c r="N43" s="16" t="s">
        <v>5</v>
      </c>
      <c r="O43" s="16" t="s">
        <v>2</v>
      </c>
      <c r="P43" s="11" t="s">
        <v>17</v>
      </c>
      <c r="Q43" s="4">
        <v>6.5</v>
      </c>
      <c r="R43" s="5" t="s">
        <v>1041</v>
      </c>
      <c r="S43" s="5" t="b">
        <f t="shared" si="0"/>
        <v>1</v>
      </c>
    </row>
    <row r="44" spans="1:19" s="5" customFormat="1" ht="42" customHeight="1">
      <c r="A44" s="2">
        <v>42</v>
      </c>
      <c r="B44" s="12">
        <v>2544641071</v>
      </c>
      <c r="C44" s="21">
        <v>250371509128</v>
      </c>
      <c r="D44" s="17">
        <f t="shared" si="1"/>
        <v>250315</v>
      </c>
      <c r="E44" s="22" t="s">
        <v>1042</v>
      </c>
      <c r="F44" s="12" t="s">
        <v>29</v>
      </c>
      <c r="G44" s="14" t="s">
        <v>15</v>
      </c>
      <c r="H44" s="19" t="s">
        <v>85</v>
      </c>
      <c r="I44" s="16" t="s">
        <v>5</v>
      </c>
      <c r="J44" s="16" t="s">
        <v>1517</v>
      </c>
      <c r="K44" s="16" t="s">
        <v>4</v>
      </c>
      <c r="L44" s="16" t="s">
        <v>5</v>
      </c>
      <c r="M44" s="16" t="s">
        <v>8</v>
      </c>
      <c r="N44" s="16" t="s">
        <v>4</v>
      </c>
      <c r="O44" s="16" t="s">
        <v>8</v>
      </c>
      <c r="P44" s="11" t="s">
        <v>1517</v>
      </c>
      <c r="Q44" s="4">
        <v>0</v>
      </c>
      <c r="R44" s="5" t="s">
        <v>1042</v>
      </c>
      <c r="S44" s="5" t="b">
        <f t="shared" si="0"/>
        <v>1</v>
      </c>
    </row>
    <row r="45" spans="1:19" s="5" customFormat="1" ht="42" customHeight="1">
      <c r="A45" s="2">
        <v>43</v>
      </c>
      <c r="B45" s="12">
        <v>2544640627</v>
      </c>
      <c r="C45" s="21">
        <v>250371509131</v>
      </c>
      <c r="D45" s="17">
        <f t="shared" si="1"/>
        <v>250316</v>
      </c>
      <c r="E45" s="22" t="s">
        <v>1043</v>
      </c>
      <c r="F45" s="12" t="s">
        <v>29</v>
      </c>
      <c r="G45" s="14" t="s">
        <v>15</v>
      </c>
      <c r="H45" s="19" t="s">
        <v>85</v>
      </c>
      <c r="I45" s="16" t="s">
        <v>3</v>
      </c>
      <c r="J45" s="16" t="s">
        <v>3</v>
      </c>
      <c r="K45" s="16" t="s">
        <v>3</v>
      </c>
      <c r="L45" s="16" t="s">
        <v>2</v>
      </c>
      <c r="M45" s="16" t="s">
        <v>4</v>
      </c>
      <c r="N45" s="16" t="s">
        <v>2</v>
      </c>
      <c r="O45" s="16" t="s">
        <v>8</v>
      </c>
      <c r="P45" s="11" t="s">
        <v>17</v>
      </c>
      <c r="Q45" s="4">
        <v>8.3888888888888893</v>
      </c>
      <c r="R45" s="5" t="s">
        <v>1043</v>
      </c>
      <c r="S45" s="5" t="b">
        <f t="shared" si="0"/>
        <v>1</v>
      </c>
    </row>
    <row r="46" spans="1:19" s="5" customFormat="1" ht="42" customHeight="1">
      <c r="A46" s="2">
        <v>44</v>
      </c>
      <c r="B46" s="12">
        <v>2544640528</v>
      </c>
      <c r="C46" s="21">
        <v>250371509132</v>
      </c>
      <c r="D46" s="17">
        <f t="shared" si="1"/>
        <v>250317</v>
      </c>
      <c r="E46" s="22" t="s">
        <v>1044</v>
      </c>
      <c r="F46" s="12" t="s">
        <v>29</v>
      </c>
      <c r="G46" s="14" t="s">
        <v>15</v>
      </c>
      <c r="H46" s="19" t="s">
        <v>85</v>
      </c>
      <c r="I46" s="16" t="s">
        <v>3</v>
      </c>
      <c r="J46" s="16" t="s">
        <v>4</v>
      </c>
      <c r="K46" s="16" t="s">
        <v>3</v>
      </c>
      <c r="L46" s="16" t="s">
        <v>2</v>
      </c>
      <c r="M46" s="16" t="s">
        <v>8</v>
      </c>
      <c r="N46" s="16" t="s">
        <v>2</v>
      </c>
      <c r="O46" s="16" t="s">
        <v>8</v>
      </c>
      <c r="P46" s="11" t="s">
        <v>17</v>
      </c>
      <c r="Q46" s="4">
        <v>8.3888888888888893</v>
      </c>
      <c r="R46" s="5" t="s">
        <v>1044</v>
      </c>
      <c r="S46" s="5" t="b">
        <f t="shared" si="0"/>
        <v>1</v>
      </c>
    </row>
    <row r="47" spans="1:19" s="5" customFormat="1" ht="42" customHeight="1">
      <c r="A47" s="2">
        <v>45</v>
      </c>
      <c r="B47" s="12">
        <v>2544640264</v>
      </c>
      <c r="C47" s="21">
        <v>250371509135</v>
      </c>
      <c r="D47" s="17">
        <f t="shared" si="1"/>
        <v>250318</v>
      </c>
      <c r="E47" s="22" t="s">
        <v>1045</v>
      </c>
      <c r="F47" s="12" t="s">
        <v>29</v>
      </c>
      <c r="G47" s="14" t="s">
        <v>15</v>
      </c>
      <c r="H47" s="19" t="s">
        <v>85</v>
      </c>
      <c r="I47" s="16" t="s">
        <v>4</v>
      </c>
      <c r="J47" s="16" t="s">
        <v>2</v>
      </c>
      <c r="K47" s="16" t="s">
        <v>3</v>
      </c>
      <c r="L47" s="16" t="s">
        <v>2</v>
      </c>
      <c r="M47" s="16" t="s">
        <v>2</v>
      </c>
      <c r="N47" s="16" t="s">
        <v>2</v>
      </c>
      <c r="O47" s="16" t="s">
        <v>8</v>
      </c>
      <c r="P47" s="11" t="s">
        <v>17</v>
      </c>
      <c r="Q47" s="4">
        <v>8.5</v>
      </c>
      <c r="R47" s="5" t="s">
        <v>1045</v>
      </c>
      <c r="S47" s="5" t="b">
        <f t="shared" si="0"/>
        <v>1</v>
      </c>
    </row>
    <row r="48" spans="1:19" s="5" customFormat="1" ht="42" customHeight="1">
      <c r="A48" s="2">
        <v>46</v>
      </c>
      <c r="B48" s="12">
        <v>2544640774</v>
      </c>
      <c r="C48" s="21">
        <v>250371509136</v>
      </c>
      <c r="D48" s="17">
        <f t="shared" si="1"/>
        <v>250319</v>
      </c>
      <c r="E48" s="22" t="s">
        <v>1046</v>
      </c>
      <c r="F48" s="12" t="s">
        <v>29</v>
      </c>
      <c r="G48" s="14" t="s">
        <v>15</v>
      </c>
      <c r="H48" s="19" t="s">
        <v>85</v>
      </c>
      <c r="I48" s="16" t="s">
        <v>3</v>
      </c>
      <c r="J48" s="16" t="s">
        <v>2</v>
      </c>
      <c r="K48" s="16" t="s">
        <v>3</v>
      </c>
      <c r="L48" s="16" t="s">
        <v>2</v>
      </c>
      <c r="M48" s="16" t="s">
        <v>3</v>
      </c>
      <c r="N48" s="16" t="s">
        <v>2</v>
      </c>
      <c r="O48" s="16" t="s">
        <v>8</v>
      </c>
      <c r="P48" s="11" t="s">
        <v>17</v>
      </c>
      <c r="Q48" s="4">
        <v>8.6111111111111107</v>
      </c>
      <c r="R48" s="5" t="s">
        <v>1046</v>
      </c>
      <c r="S48" s="5" t="b">
        <f t="shared" si="0"/>
        <v>1</v>
      </c>
    </row>
    <row r="49" spans="1:19" s="5" customFormat="1" ht="42" customHeight="1">
      <c r="A49" s="2">
        <v>47</v>
      </c>
      <c r="B49" s="12">
        <v>2544640600</v>
      </c>
      <c r="C49" s="21">
        <v>250371509139</v>
      </c>
      <c r="D49" s="17">
        <f t="shared" si="1"/>
        <v>250320</v>
      </c>
      <c r="E49" s="22" t="s">
        <v>1047</v>
      </c>
      <c r="F49" s="12" t="s">
        <v>29</v>
      </c>
      <c r="G49" s="14" t="s">
        <v>15</v>
      </c>
      <c r="H49" s="19" t="s">
        <v>85</v>
      </c>
      <c r="I49" s="16" t="s">
        <v>3</v>
      </c>
      <c r="J49" s="16" t="s">
        <v>2</v>
      </c>
      <c r="K49" s="16" t="s">
        <v>3</v>
      </c>
      <c r="L49" s="16" t="s">
        <v>2</v>
      </c>
      <c r="M49" s="16" t="s">
        <v>3</v>
      </c>
      <c r="N49" s="16" t="s">
        <v>2</v>
      </c>
      <c r="O49" s="16" t="s">
        <v>2</v>
      </c>
      <c r="P49" s="11" t="s">
        <v>17</v>
      </c>
      <c r="Q49" s="4">
        <v>8.5555555555555554</v>
      </c>
      <c r="R49" s="5" t="s">
        <v>1047</v>
      </c>
      <c r="S49" s="5" t="b">
        <f t="shared" si="0"/>
        <v>1</v>
      </c>
    </row>
    <row r="50" spans="1:19" s="5" customFormat="1" ht="42" customHeight="1">
      <c r="A50" s="2">
        <v>48</v>
      </c>
      <c r="B50" s="12">
        <v>2544640867</v>
      </c>
      <c r="C50" s="21">
        <v>250371509143</v>
      </c>
      <c r="D50" s="17">
        <f t="shared" si="1"/>
        <v>250321</v>
      </c>
      <c r="E50" s="22" t="s">
        <v>1048</v>
      </c>
      <c r="F50" s="12" t="s">
        <v>29</v>
      </c>
      <c r="G50" s="14" t="s">
        <v>15</v>
      </c>
      <c r="H50" s="19" t="s">
        <v>85</v>
      </c>
      <c r="I50" s="16" t="s">
        <v>3</v>
      </c>
      <c r="J50" s="16" t="s">
        <v>8</v>
      </c>
      <c r="K50" s="16" t="s">
        <v>2</v>
      </c>
      <c r="L50" s="16" t="s">
        <v>2</v>
      </c>
      <c r="M50" s="16" t="s">
        <v>8</v>
      </c>
      <c r="N50" s="16" t="s">
        <v>8</v>
      </c>
      <c r="O50" s="16" t="s">
        <v>8</v>
      </c>
      <c r="P50" s="11" t="s">
        <v>17</v>
      </c>
      <c r="Q50" s="4">
        <v>9.2777777777777786</v>
      </c>
      <c r="R50" s="5" t="s">
        <v>1048</v>
      </c>
      <c r="S50" s="5" t="b">
        <f t="shared" si="0"/>
        <v>1</v>
      </c>
    </row>
    <row r="51" spans="1:19" s="5" customFormat="1" ht="42" customHeight="1">
      <c r="A51" s="2">
        <v>49</v>
      </c>
      <c r="B51" s="12">
        <v>2544640866</v>
      </c>
      <c r="C51" s="21">
        <v>250371509144</v>
      </c>
      <c r="D51" s="17">
        <f t="shared" si="1"/>
        <v>250322</v>
      </c>
      <c r="E51" s="22" t="s">
        <v>1049</v>
      </c>
      <c r="F51" s="12" t="s">
        <v>29</v>
      </c>
      <c r="G51" s="14" t="s">
        <v>15</v>
      </c>
      <c r="H51" s="19" t="s">
        <v>85</v>
      </c>
      <c r="I51" s="16" t="s">
        <v>3</v>
      </c>
      <c r="J51" s="16" t="s">
        <v>8</v>
      </c>
      <c r="K51" s="16" t="s">
        <v>2</v>
      </c>
      <c r="L51" s="16" t="s">
        <v>2</v>
      </c>
      <c r="M51" s="16" t="s">
        <v>8</v>
      </c>
      <c r="N51" s="16" t="s">
        <v>8</v>
      </c>
      <c r="O51" s="16" t="s">
        <v>8</v>
      </c>
      <c r="P51" s="11" t="s">
        <v>17</v>
      </c>
      <c r="Q51" s="4">
        <v>9.2777777777777786</v>
      </c>
      <c r="R51" s="5" t="s">
        <v>1049</v>
      </c>
      <c r="S51" s="5" t="b">
        <f t="shared" si="0"/>
        <v>1</v>
      </c>
    </row>
    <row r="52" spans="1:19" s="5" customFormat="1" ht="42" customHeight="1">
      <c r="A52" s="2">
        <v>50</v>
      </c>
      <c r="B52" s="12">
        <v>2544640536</v>
      </c>
      <c r="C52" s="21">
        <v>250371509145</v>
      </c>
      <c r="D52" s="17">
        <f t="shared" si="1"/>
        <v>250323</v>
      </c>
      <c r="E52" s="22" t="s">
        <v>1050</v>
      </c>
      <c r="F52" s="12" t="s">
        <v>29</v>
      </c>
      <c r="G52" s="14" t="s">
        <v>15</v>
      </c>
      <c r="H52" s="19" t="s">
        <v>85</v>
      </c>
      <c r="I52" s="16" t="s">
        <v>1516</v>
      </c>
      <c r="J52" s="16" t="s">
        <v>1516</v>
      </c>
      <c r="K52" s="16" t="s">
        <v>1516</v>
      </c>
      <c r="L52" s="16" t="s">
        <v>1516</v>
      </c>
      <c r="M52" s="16" t="s">
        <v>1516</v>
      </c>
      <c r="N52" s="16" t="s">
        <v>1516</v>
      </c>
      <c r="O52" s="16" t="s">
        <v>1516</v>
      </c>
      <c r="P52" s="11" t="s">
        <v>1516</v>
      </c>
      <c r="Q52" s="4">
        <v>0</v>
      </c>
      <c r="R52" s="5" t="s">
        <v>1050</v>
      </c>
      <c r="S52" s="5" t="b">
        <f t="shared" si="0"/>
        <v>1</v>
      </c>
    </row>
    <row r="53" spans="1:19" s="5" customFormat="1" ht="42" customHeight="1">
      <c r="A53" s="2">
        <v>51</v>
      </c>
      <c r="B53" s="12">
        <v>2544640653</v>
      </c>
      <c r="C53" s="21">
        <v>250371509157</v>
      </c>
      <c r="D53" s="17">
        <f t="shared" si="1"/>
        <v>250324</v>
      </c>
      <c r="E53" s="22" t="s">
        <v>1051</v>
      </c>
      <c r="F53" s="12" t="s">
        <v>29</v>
      </c>
      <c r="G53" s="14" t="s">
        <v>15</v>
      </c>
      <c r="H53" s="19" t="s">
        <v>85</v>
      </c>
      <c r="I53" s="16" t="s">
        <v>3</v>
      </c>
      <c r="J53" s="16" t="s">
        <v>8</v>
      </c>
      <c r="K53" s="16" t="s">
        <v>2</v>
      </c>
      <c r="L53" s="16" t="s">
        <v>2</v>
      </c>
      <c r="M53" s="16" t="s">
        <v>8</v>
      </c>
      <c r="N53" s="16" t="s">
        <v>8</v>
      </c>
      <c r="O53" s="16" t="s">
        <v>8</v>
      </c>
      <c r="P53" s="11" t="s">
        <v>17</v>
      </c>
      <c r="Q53" s="4">
        <v>9.2777777777777786</v>
      </c>
      <c r="R53" s="5" t="s">
        <v>1051</v>
      </c>
      <c r="S53" s="5" t="b">
        <f t="shared" si="0"/>
        <v>1</v>
      </c>
    </row>
    <row r="54" spans="1:19" s="5" customFormat="1" ht="42" customHeight="1">
      <c r="A54" s="2">
        <v>52</v>
      </c>
      <c r="B54" s="12">
        <v>2544640657</v>
      </c>
      <c r="C54" s="21">
        <v>250371509166</v>
      </c>
      <c r="D54" s="17">
        <f t="shared" si="1"/>
        <v>250325</v>
      </c>
      <c r="E54" s="22" t="s">
        <v>1052</v>
      </c>
      <c r="F54" s="12" t="s">
        <v>29</v>
      </c>
      <c r="G54" s="14" t="s">
        <v>15</v>
      </c>
      <c r="H54" s="19" t="s">
        <v>85</v>
      </c>
      <c r="I54" s="16" t="s">
        <v>4</v>
      </c>
      <c r="J54" s="16" t="s">
        <v>5</v>
      </c>
      <c r="K54" s="16" t="s">
        <v>4</v>
      </c>
      <c r="L54" s="16" t="s">
        <v>3</v>
      </c>
      <c r="M54" s="16" t="s">
        <v>3</v>
      </c>
      <c r="N54" s="16" t="s">
        <v>2</v>
      </c>
      <c r="O54" s="16" t="s">
        <v>2</v>
      </c>
      <c r="P54" s="11" t="s">
        <v>17</v>
      </c>
      <c r="Q54" s="4">
        <v>7.5</v>
      </c>
      <c r="R54" s="5" t="s">
        <v>1052</v>
      </c>
      <c r="S54" s="5" t="b">
        <f t="shared" si="0"/>
        <v>1</v>
      </c>
    </row>
    <row r="55" spans="1:19" s="5" customFormat="1" ht="42" customHeight="1">
      <c r="A55" s="2">
        <v>53</v>
      </c>
      <c r="B55" s="12">
        <v>2544640398</v>
      </c>
      <c r="C55" s="21">
        <v>250371509168</v>
      </c>
      <c r="D55" s="17">
        <f t="shared" si="1"/>
        <v>250326</v>
      </c>
      <c r="E55" s="22" t="s">
        <v>1053</v>
      </c>
      <c r="F55" s="12" t="s">
        <v>29</v>
      </c>
      <c r="G55" s="14" t="s">
        <v>15</v>
      </c>
      <c r="H55" s="19" t="s">
        <v>85</v>
      </c>
      <c r="I55" s="16" t="s">
        <v>3</v>
      </c>
      <c r="J55" s="16" t="s">
        <v>2</v>
      </c>
      <c r="K55" s="16" t="s">
        <v>2</v>
      </c>
      <c r="L55" s="16" t="s">
        <v>2</v>
      </c>
      <c r="M55" s="16" t="s">
        <v>8</v>
      </c>
      <c r="N55" s="16" t="s">
        <v>8</v>
      </c>
      <c r="O55" s="16" t="s">
        <v>8</v>
      </c>
      <c r="P55" s="11" t="s">
        <v>17</v>
      </c>
      <c r="Q55" s="4">
        <v>9.1111111111111107</v>
      </c>
      <c r="R55" s="5" t="s">
        <v>1053</v>
      </c>
      <c r="S55" s="5" t="b">
        <f t="shared" si="0"/>
        <v>1</v>
      </c>
    </row>
    <row r="56" spans="1:19" s="5" customFormat="1" ht="42" customHeight="1">
      <c r="A56" s="2">
        <v>54</v>
      </c>
      <c r="B56" s="12">
        <v>2544640540</v>
      </c>
      <c r="C56" s="21">
        <v>250371509169</v>
      </c>
      <c r="D56" s="17">
        <f t="shared" si="1"/>
        <v>250327</v>
      </c>
      <c r="E56" s="22" t="s">
        <v>1054</v>
      </c>
      <c r="F56" s="12" t="s">
        <v>29</v>
      </c>
      <c r="G56" s="14" t="s">
        <v>15</v>
      </c>
      <c r="H56" s="19" t="s">
        <v>85</v>
      </c>
      <c r="I56" s="16" t="s">
        <v>4</v>
      </c>
      <c r="J56" s="16" t="s">
        <v>2</v>
      </c>
      <c r="K56" s="16" t="s">
        <v>4</v>
      </c>
      <c r="L56" s="16" t="s">
        <v>4</v>
      </c>
      <c r="M56" s="16" t="s">
        <v>6</v>
      </c>
      <c r="N56" s="16" t="s">
        <v>8</v>
      </c>
      <c r="O56" s="16" t="s">
        <v>3</v>
      </c>
      <c r="P56" s="11" t="s">
        <v>17</v>
      </c>
      <c r="Q56" s="4">
        <v>7.7777777777777777</v>
      </c>
      <c r="R56" s="5" t="s">
        <v>1054</v>
      </c>
      <c r="S56" s="5" t="b">
        <f t="shared" si="0"/>
        <v>1</v>
      </c>
    </row>
    <row r="57" spans="1:19" s="5" customFormat="1" ht="42" customHeight="1">
      <c r="A57" s="2">
        <v>55</v>
      </c>
      <c r="B57" s="12">
        <v>2544640598</v>
      </c>
      <c r="C57" s="21">
        <v>250371509174</v>
      </c>
      <c r="D57" s="17">
        <f t="shared" si="1"/>
        <v>250328</v>
      </c>
      <c r="E57" s="22" t="s">
        <v>1055</v>
      </c>
      <c r="F57" s="12" t="s">
        <v>29</v>
      </c>
      <c r="G57" s="14" t="s">
        <v>15</v>
      </c>
      <c r="H57" s="19" t="s">
        <v>85</v>
      </c>
      <c r="I57" s="16" t="s">
        <v>4</v>
      </c>
      <c r="J57" s="16" t="s">
        <v>4</v>
      </c>
      <c r="K57" s="16" t="s">
        <v>5</v>
      </c>
      <c r="L57" s="16" t="s">
        <v>5</v>
      </c>
      <c r="M57" s="16" t="s">
        <v>2</v>
      </c>
      <c r="N57" s="16" t="s">
        <v>4</v>
      </c>
      <c r="O57" s="16" t="s">
        <v>2</v>
      </c>
      <c r="P57" s="11" t="s">
        <v>17</v>
      </c>
      <c r="Q57" s="4">
        <v>6.833333333333333</v>
      </c>
      <c r="R57" s="5" t="s">
        <v>1055</v>
      </c>
      <c r="S57" s="5" t="b">
        <f t="shared" si="0"/>
        <v>1</v>
      </c>
    </row>
    <row r="58" spans="1:19" s="5" customFormat="1" ht="42" customHeight="1">
      <c r="A58" s="2">
        <v>56</v>
      </c>
      <c r="B58" s="12">
        <v>2544640695</v>
      </c>
      <c r="C58" s="21">
        <v>250371509175</v>
      </c>
      <c r="D58" s="17">
        <f t="shared" si="1"/>
        <v>250329</v>
      </c>
      <c r="E58" s="22" t="s">
        <v>1056</v>
      </c>
      <c r="F58" s="12" t="s">
        <v>29</v>
      </c>
      <c r="G58" s="14" t="s">
        <v>15</v>
      </c>
      <c r="H58" s="19" t="s">
        <v>85</v>
      </c>
      <c r="I58" s="16" t="s">
        <v>4</v>
      </c>
      <c r="J58" s="16" t="s">
        <v>7</v>
      </c>
      <c r="K58" s="16" t="s">
        <v>4</v>
      </c>
      <c r="L58" s="16" t="s">
        <v>4</v>
      </c>
      <c r="M58" s="16" t="s">
        <v>3</v>
      </c>
      <c r="N58" s="16" t="s">
        <v>7</v>
      </c>
      <c r="O58" s="16" t="s">
        <v>2</v>
      </c>
      <c r="P58" s="11" t="s">
        <v>7</v>
      </c>
      <c r="Q58" s="4">
        <v>0</v>
      </c>
      <c r="R58" s="5" t="s">
        <v>1056</v>
      </c>
      <c r="S58" s="5" t="b">
        <f t="shared" si="0"/>
        <v>1</v>
      </c>
    </row>
    <row r="59" spans="1:19" s="5" customFormat="1" ht="42" customHeight="1">
      <c r="A59" s="2">
        <v>57</v>
      </c>
      <c r="B59" s="12">
        <v>2544640532</v>
      </c>
      <c r="C59" s="21">
        <v>250371509182</v>
      </c>
      <c r="D59" s="17">
        <f t="shared" si="1"/>
        <v>250330</v>
      </c>
      <c r="E59" s="22" t="s">
        <v>1057</v>
      </c>
      <c r="F59" s="12" t="s">
        <v>29</v>
      </c>
      <c r="G59" s="14" t="s">
        <v>15</v>
      </c>
      <c r="H59" s="19" t="s">
        <v>85</v>
      </c>
      <c r="I59" s="16" t="s">
        <v>3</v>
      </c>
      <c r="J59" s="16" t="s">
        <v>6</v>
      </c>
      <c r="K59" s="16" t="s">
        <v>3</v>
      </c>
      <c r="L59" s="16" t="s">
        <v>3</v>
      </c>
      <c r="M59" s="16" t="s">
        <v>3</v>
      </c>
      <c r="N59" s="16" t="s">
        <v>2</v>
      </c>
      <c r="O59" s="16" t="s">
        <v>3</v>
      </c>
      <c r="P59" s="11" t="s">
        <v>17</v>
      </c>
      <c r="Q59" s="4">
        <v>7.666666666666667</v>
      </c>
      <c r="R59" s="5" t="s">
        <v>1057</v>
      </c>
      <c r="S59" s="5" t="b">
        <f t="shared" si="0"/>
        <v>1</v>
      </c>
    </row>
    <row r="60" spans="1:19" s="5" customFormat="1" ht="42" customHeight="1">
      <c r="A60" s="2">
        <v>58</v>
      </c>
      <c r="B60" s="12">
        <v>2544641042</v>
      </c>
      <c r="C60" s="21">
        <v>250371509184</v>
      </c>
      <c r="D60" s="17">
        <f t="shared" si="1"/>
        <v>250331</v>
      </c>
      <c r="E60" s="22" t="s">
        <v>1058</v>
      </c>
      <c r="F60" s="12" t="s">
        <v>29</v>
      </c>
      <c r="G60" s="14" t="s">
        <v>15</v>
      </c>
      <c r="H60" s="19" t="s">
        <v>85</v>
      </c>
      <c r="I60" s="16" t="s">
        <v>6</v>
      </c>
      <c r="J60" s="16" t="s">
        <v>5</v>
      </c>
      <c r="K60" s="16" t="s">
        <v>5</v>
      </c>
      <c r="L60" s="16" t="s">
        <v>6</v>
      </c>
      <c r="M60" s="16" t="s">
        <v>3</v>
      </c>
      <c r="N60" s="16" t="s">
        <v>4</v>
      </c>
      <c r="O60" s="16" t="s">
        <v>8</v>
      </c>
      <c r="P60" s="11" t="s">
        <v>17</v>
      </c>
      <c r="Q60" s="4">
        <v>6.166666666666667</v>
      </c>
      <c r="R60" s="5" t="s">
        <v>1058</v>
      </c>
      <c r="S60" s="5" t="b">
        <f t="shared" si="0"/>
        <v>1</v>
      </c>
    </row>
    <row r="61" spans="1:19" s="5" customFormat="1" ht="42" customHeight="1">
      <c r="A61" s="2">
        <v>59</v>
      </c>
      <c r="B61" s="12">
        <v>2544640965</v>
      </c>
      <c r="C61" s="21">
        <v>250371509187</v>
      </c>
      <c r="D61" s="17">
        <f t="shared" si="1"/>
        <v>250332</v>
      </c>
      <c r="E61" s="22" t="s">
        <v>1059</v>
      </c>
      <c r="F61" s="12" t="s">
        <v>29</v>
      </c>
      <c r="G61" s="14" t="s">
        <v>15</v>
      </c>
      <c r="H61" s="19" t="s">
        <v>85</v>
      </c>
      <c r="I61" s="16" t="s">
        <v>4</v>
      </c>
      <c r="J61" s="16" t="s">
        <v>6</v>
      </c>
      <c r="K61" s="16" t="s">
        <v>3</v>
      </c>
      <c r="L61" s="16" t="s">
        <v>3</v>
      </c>
      <c r="M61" s="16" t="s">
        <v>3</v>
      </c>
      <c r="N61" s="16" t="s">
        <v>2</v>
      </c>
      <c r="O61" s="16" t="s">
        <v>8</v>
      </c>
      <c r="P61" s="11" t="s">
        <v>17</v>
      </c>
      <c r="Q61" s="4">
        <v>7.6111111111111107</v>
      </c>
      <c r="R61" s="5" t="s">
        <v>1059</v>
      </c>
      <c r="S61" s="5" t="b">
        <f t="shared" si="0"/>
        <v>1</v>
      </c>
    </row>
    <row r="62" spans="1:19" s="5" customFormat="1" ht="42" customHeight="1">
      <c r="A62" s="2">
        <v>60</v>
      </c>
      <c r="B62" s="12">
        <v>2544640499</v>
      </c>
      <c r="C62" s="21">
        <v>250371509190</v>
      </c>
      <c r="D62" s="17">
        <f t="shared" si="1"/>
        <v>250333</v>
      </c>
      <c r="E62" s="22" t="s">
        <v>1060</v>
      </c>
      <c r="F62" s="12" t="s">
        <v>29</v>
      </c>
      <c r="G62" s="14" t="s">
        <v>15</v>
      </c>
      <c r="H62" s="19" t="s">
        <v>85</v>
      </c>
      <c r="I62" s="16" t="s">
        <v>6</v>
      </c>
      <c r="J62" s="16" t="s">
        <v>7</v>
      </c>
      <c r="K62" s="16" t="s">
        <v>4</v>
      </c>
      <c r="L62" s="16" t="s">
        <v>5</v>
      </c>
      <c r="M62" s="16" t="s">
        <v>6</v>
      </c>
      <c r="N62" s="16" t="s">
        <v>4</v>
      </c>
      <c r="O62" s="16" t="s">
        <v>3</v>
      </c>
      <c r="P62" s="11" t="s">
        <v>7</v>
      </c>
      <c r="Q62" s="4">
        <v>0</v>
      </c>
      <c r="R62" s="5" t="s">
        <v>1060</v>
      </c>
      <c r="S62" s="5" t="b">
        <f t="shared" si="0"/>
        <v>1</v>
      </c>
    </row>
    <row r="63" spans="1:19" s="5" customFormat="1" ht="42" customHeight="1">
      <c r="A63" s="2">
        <v>61</v>
      </c>
      <c r="B63" s="12">
        <v>2544640242</v>
      </c>
      <c r="C63" s="21">
        <v>250371509204</v>
      </c>
      <c r="D63" s="17">
        <f t="shared" si="1"/>
        <v>250334</v>
      </c>
      <c r="E63" s="22" t="s">
        <v>1061</v>
      </c>
      <c r="F63" s="12" t="s">
        <v>29</v>
      </c>
      <c r="G63" s="14" t="s">
        <v>15</v>
      </c>
      <c r="H63" s="19" t="s">
        <v>85</v>
      </c>
      <c r="I63" s="16" t="s">
        <v>6</v>
      </c>
      <c r="J63" s="16" t="s">
        <v>6</v>
      </c>
      <c r="K63" s="16" t="s">
        <v>4</v>
      </c>
      <c r="L63" s="16" t="s">
        <v>3</v>
      </c>
      <c r="M63" s="16" t="s">
        <v>4</v>
      </c>
      <c r="N63" s="16" t="s">
        <v>4</v>
      </c>
      <c r="O63" s="16" t="s">
        <v>8</v>
      </c>
      <c r="P63" s="11" t="s">
        <v>17</v>
      </c>
      <c r="Q63" s="4">
        <v>6.67</v>
      </c>
      <c r="R63" s="5" t="s">
        <v>1061</v>
      </c>
      <c r="S63" s="5" t="b">
        <f t="shared" si="0"/>
        <v>1</v>
      </c>
    </row>
    <row r="64" spans="1:19" s="5" customFormat="1" ht="42" customHeight="1">
      <c r="A64" s="2">
        <v>62</v>
      </c>
      <c r="B64" s="12">
        <v>2544640554</v>
      </c>
      <c r="C64" s="21">
        <v>250371509207</v>
      </c>
      <c r="D64" s="17">
        <f t="shared" si="1"/>
        <v>250335</v>
      </c>
      <c r="E64" s="22" t="s">
        <v>1062</v>
      </c>
      <c r="F64" s="12" t="s">
        <v>29</v>
      </c>
      <c r="G64" s="14" t="s">
        <v>15</v>
      </c>
      <c r="H64" s="19" t="s">
        <v>85</v>
      </c>
      <c r="I64" s="16" t="s">
        <v>4</v>
      </c>
      <c r="J64" s="16" t="s">
        <v>11</v>
      </c>
      <c r="K64" s="16" t="s">
        <v>4</v>
      </c>
      <c r="L64" s="16" t="s">
        <v>3</v>
      </c>
      <c r="M64" s="16" t="s">
        <v>1516</v>
      </c>
      <c r="N64" s="16" t="s">
        <v>5</v>
      </c>
      <c r="O64" s="16" t="s">
        <v>1516</v>
      </c>
      <c r="P64" s="11" t="s">
        <v>1516</v>
      </c>
      <c r="Q64" s="4">
        <v>0</v>
      </c>
      <c r="R64" s="5" t="s">
        <v>1062</v>
      </c>
      <c r="S64" s="5" t="b">
        <f t="shared" si="0"/>
        <v>1</v>
      </c>
    </row>
    <row r="65" spans="1:19" s="5" customFormat="1" ht="42" customHeight="1">
      <c r="A65" s="2">
        <v>63</v>
      </c>
      <c r="B65" s="12">
        <v>2544641054</v>
      </c>
      <c r="C65" s="21">
        <v>250371509210</v>
      </c>
      <c r="D65" s="17">
        <f t="shared" si="1"/>
        <v>250336</v>
      </c>
      <c r="E65" s="22" t="s">
        <v>944</v>
      </c>
      <c r="F65" s="12" t="s">
        <v>29</v>
      </c>
      <c r="G65" s="14" t="s">
        <v>15</v>
      </c>
      <c r="H65" s="19" t="s">
        <v>85</v>
      </c>
      <c r="I65" s="16" t="s">
        <v>2</v>
      </c>
      <c r="J65" s="16" t="s">
        <v>6</v>
      </c>
      <c r="K65" s="16" t="s">
        <v>4</v>
      </c>
      <c r="L65" s="16" t="s">
        <v>8</v>
      </c>
      <c r="M65" s="16" t="s">
        <v>3</v>
      </c>
      <c r="N65" s="16" t="s">
        <v>3</v>
      </c>
      <c r="O65" s="16" t="s">
        <v>2</v>
      </c>
      <c r="P65" s="11" t="s">
        <v>17</v>
      </c>
      <c r="Q65" s="4">
        <v>7.83</v>
      </c>
      <c r="R65" s="5" t="s">
        <v>944</v>
      </c>
      <c r="S65" s="5" t="b">
        <f t="shared" si="0"/>
        <v>1</v>
      </c>
    </row>
    <row r="66" spans="1:19" s="5" customFormat="1" ht="42" customHeight="1">
      <c r="A66" s="2">
        <v>64</v>
      </c>
      <c r="B66" s="12">
        <v>2544640475</v>
      </c>
      <c r="C66" s="21">
        <v>250371509212</v>
      </c>
      <c r="D66" s="17">
        <f t="shared" si="1"/>
        <v>250337</v>
      </c>
      <c r="E66" s="22" t="s">
        <v>1063</v>
      </c>
      <c r="F66" s="12" t="s">
        <v>29</v>
      </c>
      <c r="G66" s="14" t="s">
        <v>15</v>
      </c>
      <c r="H66" s="19" t="s">
        <v>85</v>
      </c>
      <c r="I66" s="16" t="s">
        <v>3</v>
      </c>
      <c r="J66" s="16" t="s">
        <v>4</v>
      </c>
      <c r="K66" s="16" t="s">
        <v>3</v>
      </c>
      <c r="L66" s="16" t="s">
        <v>3</v>
      </c>
      <c r="M66" s="16" t="s">
        <v>2</v>
      </c>
      <c r="N66" s="16" t="s">
        <v>4</v>
      </c>
      <c r="O66" s="16" t="s">
        <v>4</v>
      </c>
      <c r="P66" s="11" t="s">
        <v>17</v>
      </c>
      <c r="Q66" s="4">
        <v>7.666666666666667</v>
      </c>
      <c r="R66" s="5" t="s">
        <v>1063</v>
      </c>
      <c r="S66" s="5" t="b">
        <f t="shared" si="0"/>
        <v>1</v>
      </c>
    </row>
    <row r="67" spans="1:19" s="5" customFormat="1" ht="42" customHeight="1">
      <c r="A67" s="2">
        <v>65</v>
      </c>
      <c r="B67" s="12">
        <v>2544640432</v>
      </c>
      <c r="C67" s="21">
        <v>250371509214</v>
      </c>
      <c r="D67" s="17">
        <f t="shared" si="1"/>
        <v>250338</v>
      </c>
      <c r="E67" s="22" t="s">
        <v>1064</v>
      </c>
      <c r="F67" s="12" t="s">
        <v>29</v>
      </c>
      <c r="G67" s="14" t="s">
        <v>15</v>
      </c>
      <c r="H67" s="19" t="s">
        <v>85</v>
      </c>
      <c r="I67" s="16" t="s">
        <v>2</v>
      </c>
      <c r="J67" s="16" t="s">
        <v>7</v>
      </c>
      <c r="K67" s="16" t="s">
        <v>5</v>
      </c>
      <c r="L67" s="16" t="s">
        <v>3</v>
      </c>
      <c r="M67" s="16" t="s">
        <v>1516</v>
      </c>
      <c r="N67" s="16" t="s">
        <v>6</v>
      </c>
      <c r="O67" s="16" t="s">
        <v>1516</v>
      </c>
      <c r="P67" s="11" t="s">
        <v>1516</v>
      </c>
      <c r="Q67" s="4">
        <v>0</v>
      </c>
      <c r="R67" s="5" t="s">
        <v>1064</v>
      </c>
      <c r="S67" s="5" t="b">
        <f t="shared" si="0"/>
        <v>1</v>
      </c>
    </row>
    <row r="68" spans="1:19" s="5" customFormat="1" ht="42" customHeight="1">
      <c r="A68" s="2">
        <v>66</v>
      </c>
      <c r="B68" s="12">
        <v>2544640742</v>
      </c>
      <c r="C68" s="21">
        <v>250371509217</v>
      </c>
      <c r="D68" s="17">
        <f t="shared" si="1"/>
        <v>250339</v>
      </c>
      <c r="E68" s="22" t="s">
        <v>1065</v>
      </c>
      <c r="F68" s="12" t="s">
        <v>29</v>
      </c>
      <c r="G68" s="14" t="s">
        <v>15</v>
      </c>
      <c r="H68" s="19" t="s">
        <v>85</v>
      </c>
      <c r="I68" s="16" t="s">
        <v>4</v>
      </c>
      <c r="J68" s="16" t="s">
        <v>4</v>
      </c>
      <c r="K68" s="16" t="s">
        <v>4</v>
      </c>
      <c r="L68" s="16" t="s">
        <v>8</v>
      </c>
      <c r="M68" s="16" t="s">
        <v>1516</v>
      </c>
      <c r="N68" s="16" t="s">
        <v>3</v>
      </c>
      <c r="O68" s="16" t="s">
        <v>1516</v>
      </c>
      <c r="P68" s="11" t="s">
        <v>1516</v>
      </c>
      <c r="Q68" s="4">
        <v>0</v>
      </c>
      <c r="R68" s="5" t="s">
        <v>1065</v>
      </c>
      <c r="S68" s="5" t="b">
        <f t="shared" ref="S68:S97" si="2">R68=E68</f>
        <v>1</v>
      </c>
    </row>
    <row r="69" spans="1:19" s="5" customFormat="1" ht="42" customHeight="1">
      <c r="A69" s="2">
        <v>67</v>
      </c>
      <c r="B69" s="12">
        <v>2544640352</v>
      </c>
      <c r="C69" s="21">
        <v>250371509219</v>
      </c>
      <c r="D69" s="17">
        <f t="shared" ref="D69:D97" si="3">D68+1</f>
        <v>250340</v>
      </c>
      <c r="E69" s="22" t="s">
        <v>1066</v>
      </c>
      <c r="F69" s="12" t="s">
        <v>29</v>
      </c>
      <c r="G69" s="14" t="s">
        <v>15</v>
      </c>
      <c r="H69" s="19" t="s">
        <v>85</v>
      </c>
      <c r="I69" s="16" t="s">
        <v>5</v>
      </c>
      <c r="J69" s="16" t="s">
        <v>4</v>
      </c>
      <c r="K69" s="16" t="s">
        <v>4</v>
      </c>
      <c r="L69" s="16" t="s">
        <v>3</v>
      </c>
      <c r="M69" s="16" t="s">
        <v>2</v>
      </c>
      <c r="N69" s="16" t="s">
        <v>4</v>
      </c>
      <c r="O69" s="16" t="s">
        <v>2</v>
      </c>
      <c r="P69" s="11" t="s">
        <v>17</v>
      </c>
      <c r="Q69" s="4">
        <v>7.2222222222222223</v>
      </c>
      <c r="R69" s="5" t="s">
        <v>1066</v>
      </c>
      <c r="S69" s="5" t="b">
        <f t="shared" si="2"/>
        <v>1</v>
      </c>
    </row>
    <row r="70" spans="1:19" s="5" customFormat="1" ht="42" customHeight="1">
      <c r="A70" s="2">
        <v>68</v>
      </c>
      <c r="B70" s="12">
        <v>2544640668</v>
      </c>
      <c r="C70" s="21">
        <v>250371509220</v>
      </c>
      <c r="D70" s="17">
        <f t="shared" si="3"/>
        <v>250341</v>
      </c>
      <c r="E70" s="22" t="s">
        <v>1067</v>
      </c>
      <c r="F70" s="12" t="s">
        <v>29</v>
      </c>
      <c r="G70" s="14" t="s">
        <v>15</v>
      </c>
      <c r="H70" s="19" t="s">
        <v>85</v>
      </c>
      <c r="I70" s="16" t="s">
        <v>4</v>
      </c>
      <c r="J70" s="16" t="s">
        <v>6</v>
      </c>
      <c r="K70" s="16" t="s">
        <v>4</v>
      </c>
      <c r="L70" s="16" t="s">
        <v>3</v>
      </c>
      <c r="M70" s="16" t="s">
        <v>4</v>
      </c>
      <c r="N70" s="16" t="s">
        <v>6</v>
      </c>
      <c r="O70" s="16" t="s">
        <v>2</v>
      </c>
      <c r="P70" s="11" t="s">
        <v>17</v>
      </c>
      <c r="Q70" s="4">
        <v>6.6111111111111107</v>
      </c>
      <c r="R70" s="5" t="s">
        <v>1067</v>
      </c>
      <c r="S70" s="5" t="b">
        <f t="shared" si="2"/>
        <v>1</v>
      </c>
    </row>
    <row r="71" spans="1:19" s="5" customFormat="1" ht="42" customHeight="1">
      <c r="A71" s="2">
        <v>69</v>
      </c>
      <c r="B71" s="12">
        <v>2544640544</v>
      </c>
      <c r="C71" s="21">
        <v>250371509229</v>
      </c>
      <c r="D71" s="17">
        <f t="shared" si="3"/>
        <v>250342</v>
      </c>
      <c r="E71" s="22" t="s">
        <v>1068</v>
      </c>
      <c r="F71" s="12" t="s">
        <v>29</v>
      </c>
      <c r="G71" s="14" t="s">
        <v>15</v>
      </c>
      <c r="H71" s="19" t="s">
        <v>85</v>
      </c>
      <c r="I71" s="16" t="s">
        <v>1516</v>
      </c>
      <c r="J71" s="16" t="s">
        <v>1516</v>
      </c>
      <c r="K71" s="16" t="s">
        <v>1516</v>
      </c>
      <c r="L71" s="16" t="s">
        <v>1516</v>
      </c>
      <c r="M71" s="16" t="s">
        <v>1516</v>
      </c>
      <c r="N71" s="16" t="s">
        <v>1516</v>
      </c>
      <c r="O71" s="16" t="s">
        <v>1516</v>
      </c>
      <c r="P71" s="11" t="s">
        <v>1516</v>
      </c>
      <c r="Q71" s="4">
        <v>0</v>
      </c>
      <c r="R71" s="5" t="s">
        <v>1068</v>
      </c>
      <c r="S71" s="5" t="b">
        <f t="shared" si="2"/>
        <v>1</v>
      </c>
    </row>
    <row r="72" spans="1:19" s="5" customFormat="1" ht="42" customHeight="1">
      <c r="A72" s="2">
        <v>70</v>
      </c>
      <c r="B72" s="12">
        <v>2544640822</v>
      </c>
      <c r="C72" s="21">
        <v>250371509236</v>
      </c>
      <c r="D72" s="17">
        <f t="shared" si="3"/>
        <v>250343</v>
      </c>
      <c r="E72" s="22" t="s">
        <v>1069</v>
      </c>
      <c r="F72" s="12" t="s">
        <v>29</v>
      </c>
      <c r="G72" s="14" t="s">
        <v>15</v>
      </c>
      <c r="H72" s="19" t="s">
        <v>85</v>
      </c>
      <c r="I72" s="16" t="s">
        <v>4</v>
      </c>
      <c r="J72" s="16" t="s">
        <v>7</v>
      </c>
      <c r="K72" s="16" t="s">
        <v>5</v>
      </c>
      <c r="L72" s="16" t="s">
        <v>2</v>
      </c>
      <c r="M72" s="16" t="s">
        <v>4</v>
      </c>
      <c r="N72" s="16" t="s">
        <v>4</v>
      </c>
      <c r="O72" s="16" t="s">
        <v>2</v>
      </c>
      <c r="P72" s="11" t="s">
        <v>7</v>
      </c>
      <c r="Q72" s="4">
        <v>0</v>
      </c>
      <c r="R72" s="5" t="s">
        <v>1069</v>
      </c>
      <c r="S72" s="5" t="b">
        <f t="shared" si="2"/>
        <v>1</v>
      </c>
    </row>
    <row r="73" spans="1:19" s="5" customFormat="1" ht="42" customHeight="1">
      <c r="A73" s="2">
        <v>71</v>
      </c>
      <c r="B73" s="12">
        <v>2544640724</v>
      </c>
      <c r="C73" s="21">
        <v>250371509238</v>
      </c>
      <c r="D73" s="17">
        <f t="shared" si="3"/>
        <v>250344</v>
      </c>
      <c r="E73" s="22" t="s">
        <v>1070</v>
      </c>
      <c r="F73" s="12" t="s">
        <v>29</v>
      </c>
      <c r="G73" s="14" t="s">
        <v>15</v>
      </c>
      <c r="H73" s="19" t="s">
        <v>85</v>
      </c>
      <c r="I73" s="16" t="s">
        <v>3</v>
      </c>
      <c r="J73" s="16" t="s">
        <v>11</v>
      </c>
      <c r="K73" s="16" t="s">
        <v>3</v>
      </c>
      <c r="L73" s="16" t="s">
        <v>8</v>
      </c>
      <c r="M73" s="16" t="s">
        <v>4</v>
      </c>
      <c r="N73" s="16" t="s">
        <v>2</v>
      </c>
      <c r="O73" s="16" t="s">
        <v>8</v>
      </c>
      <c r="P73" s="11" t="s">
        <v>17</v>
      </c>
      <c r="Q73" s="4">
        <v>7.8888888888888893</v>
      </c>
      <c r="R73" s="5" t="s">
        <v>1070</v>
      </c>
      <c r="S73" s="5" t="b">
        <f t="shared" si="2"/>
        <v>1</v>
      </c>
    </row>
    <row r="74" spans="1:19" s="5" customFormat="1" ht="42" customHeight="1">
      <c r="A74" s="2">
        <v>72</v>
      </c>
      <c r="B74" s="12">
        <v>2544641098</v>
      </c>
      <c r="C74" s="21">
        <v>250371509239</v>
      </c>
      <c r="D74" s="17">
        <f t="shared" si="3"/>
        <v>250345</v>
      </c>
      <c r="E74" s="22" t="s">
        <v>1071</v>
      </c>
      <c r="F74" s="12" t="s">
        <v>29</v>
      </c>
      <c r="G74" s="14" t="s">
        <v>15</v>
      </c>
      <c r="H74" s="19" t="s">
        <v>85</v>
      </c>
      <c r="I74" s="16" t="s">
        <v>4</v>
      </c>
      <c r="J74" s="16" t="s">
        <v>7</v>
      </c>
      <c r="K74" s="16" t="s">
        <v>5</v>
      </c>
      <c r="L74" s="16" t="s">
        <v>4</v>
      </c>
      <c r="M74" s="16" t="s">
        <v>4</v>
      </c>
      <c r="N74" s="16" t="s">
        <v>6</v>
      </c>
      <c r="O74" s="16" t="s">
        <v>3</v>
      </c>
      <c r="P74" s="11" t="s">
        <v>7</v>
      </c>
      <c r="Q74" s="4">
        <v>0</v>
      </c>
      <c r="R74" s="5" t="s">
        <v>1071</v>
      </c>
      <c r="S74" s="5" t="b">
        <f t="shared" si="2"/>
        <v>1</v>
      </c>
    </row>
    <row r="75" spans="1:19" s="5" customFormat="1" ht="42" customHeight="1">
      <c r="A75" s="2">
        <v>73</v>
      </c>
      <c r="B75" s="12">
        <v>2544640443</v>
      </c>
      <c r="C75" s="21">
        <v>250371509242</v>
      </c>
      <c r="D75" s="17">
        <f t="shared" si="3"/>
        <v>250346</v>
      </c>
      <c r="E75" s="22" t="s">
        <v>1072</v>
      </c>
      <c r="F75" s="12" t="s">
        <v>29</v>
      </c>
      <c r="G75" s="14" t="s">
        <v>15</v>
      </c>
      <c r="H75" s="19" t="s">
        <v>85</v>
      </c>
      <c r="I75" s="16" t="s">
        <v>5</v>
      </c>
      <c r="J75" s="16" t="s">
        <v>11</v>
      </c>
      <c r="K75" s="16" t="s">
        <v>4</v>
      </c>
      <c r="L75" s="16" t="s">
        <v>2</v>
      </c>
      <c r="M75" s="16" t="s">
        <v>3</v>
      </c>
      <c r="N75" s="16" t="s">
        <v>3</v>
      </c>
      <c r="O75" s="16" t="s">
        <v>8</v>
      </c>
      <c r="P75" s="11" t="s">
        <v>17</v>
      </c>
      <c r="Q75" s="4">
        <v>7.0555555555555554</v>
      </c>
      <c r="R75" s="5" t="s">
        <v>1072</v>
      </c>
      <c r="S75" s="5" t="b">
        <f t="shared" si="2"/>
        <v>1</v>
      </c>
    </row>
    <row r="76" spans="1:19" s="5" customFormat="1" ht="42" customHeight="1">
      <c r="A76" s="2">
        <v>74</v>
      </c>
      <c r="B76" s="12">
        <v>2544640506</v>
      </c>
      <c r="C76" s="21">
        <v>250371509246</v>
      </c>
      <c r="D76" s="17">
        <f t="shared" si="3"/>
        <v>250347</v>
      </c>
      <c r="E76" s="22" t="s">
        <v>1073</v>
      </c>
      <c r="F76" s="12" t="s">
        <v>29</v>
      </c>
      <c r="G76" s="14" t="s">
        <v>15</v>
      </c>
      <c r="H76" s="19" t="s">
        <v>85</v>
      </c>
      <c r="I76" s="16" t="s">
        <v>3</v>
      </c>
      <c r="J76" s="16" t="s">
        <v>3</v>
      </c>
      <c r="K76" s="16" t="s">
        <v>4</v>
      </c>
      <c r="L76" s="16" t="s">
        <v>3</v>
      </c>
      <c r="M76" s="16" t="s">
        <v>2</v>
      </c>
      <c r="N76" s="16" t="s">
        <v>4</v>
      </c>
      <c r="O76" s="16" t="s">
        <v>2</v>
      </c>
      <c r="P76" s="11" t="s">
        <v>17</v>
      </c>
      <c r="Q76" s="4">
        <v>7.7222222222222223</v>
      </c>
      <c r="R76" s="5" t="s">
        <v>1073</v>
      </c>
      <c r="S76" s="5" t="b">
        <f t="shared" si="2"/>
        <v>1</v>
      </c>
    </row>
    <row r="77" spans="1:19" s="5" customFormat="1" ht="42" customHeight="1">
      <c r="A77" s="2">
        <v>75</v>
      </c>
      <c r="B77" s="12">
        <v>2544640614</v>
      </c>
      <c r="C77" s="21">
        <v>250371509248</v>
      </c>
      <c r="D77" s="17">
        <f t="shared" si="3"/>
        <v>250348</v>
      </c>
      <c r="E77" s="22" t="s">
        <v>1074</v>
      </c>
      <c r="F77" s="12" t="s">
        <v>29</v>
      </c>
      <c r="G77" s="14" t="s">
        <v>15</v>
      </c>
      <c r="H77" s="19" t="s">
        <v>85</v>
      </c>
      <c r="I77" s="16" t="s">
        <v>4</v>
      </c>
      <c r="J77" s="16" t="s">
        <v>4</v>
      </c>
      <c r="K77" s="16" t="s">
        <v>4</v>
      </c>
      <c r="L77" s="16" t="s">
        <v>3</v>
      </c>
      <c r="M77" s="16" t="s">
        <v>2</v>
      </c>
      <c r="N77" s="16" t="s">
        <v>3</v>
      </c>
      <c r="O77" s="16" t="s">
        <v>8</v>
      </c>
      <c r="P77" s="11" t="s">
        <v>17</v>
      </c>
      <c r="Q77" s="4">
        <v>7.6111111111111107</v>
      </c>
      <c r="R77" s="5" t="s">
        <v>1074</v>
      </c>
      <c r="S77" s="5" t="b">
        <f t="shared" si="2"/>
        <v>1</v>
      </c>
    </row>
    <row r="78" spans="1:19" s="5" customFormat="1" ht="42" customHeight="1">
      <c r="A78" s="2">
        <v>76</v>
      </c>
      <c r="B78" s="12">
        <v>2544640876</v>
      </c>
      <c r="C78" s="21">
        <v>250371509249</v>
      </c>
      <c r="D78" s="17">
        <f t="shared" si="3"/>
        <v>250349</v>
      </c>
      <c r="E78" s="22" t="s">
        <v>1075</v>
      </c>
      <c r="F78" s="12" t="s">
        <v>29</v>
      </c>
      <c r="G78" s="14" t="s">
        <v>15</v>
      </c>
      <c r="H78" s="19" t="s">
        <v>85</v>
      </c>
      <c r="I78" s="16" t="s">
        <v>4</v>
      </c>
      <c r="J78" s="16" t="s">
        <v>4</v>
      </c>
      <c r="K78" s="16" t="s">
        <v>4</v>
      </c>
      <c r="L78" s="16" t="s">
        <v>4</v>
      </c>
      <c r="M78" s="16" t="s">
        <v>4</v>
      </c>
      <c r="N78" s="16" t="s">
        <v>4</v>
      </c>
      <c r="O78" s="16" t="s">
        <v>8</v>
      </c>
      <c r="P78" s="11" t="s">
        <v>17</v>
      </c>
      <c r="Q78" s="4">
        <v>7.166666666666667</v>
      </c>
      <c r="R78" s="5" t="s">
        <v>1075</v>
      </c>
      <c r="S78" s="5" t="b">
        <f t="shared" si="2"/>
        <v>1</v>
      </c>
    </row>
    <row r="79" spans="1:19" s="5" customFormat="1" ht="42" customHeight="1">
      <c r="A79" s="2">
        <v>77</v>
      </c>
      <c r="B79" s="12">
        <v>2544641058</v>
      </c>
      <c r="C79" s="21">
        <v>250371509250</v>
      </c>
      <c r="D79" s="17">
        <f t="shared" si="3"/>
        <v>250350</v>
      </c>
      <c r="E79" s="22" t="s">
        <v>1076</v>
      </c>
      <c r="F79" s="12" t="s">
        <v>29</v>
      </c>
      <c r="G79" s="14" t="s">
        <v>15</v>
      </c>
      <c r="H79" s="19" t="s">
        <v>85</v>
      </c>
      <c r="I79" s="16" t="s">
        <v>3</v>
      </c>
      <c r="J79" s="16" t="s">
        <v>2</v>
      </c>
      <c r="K79" s="16" t="s">
        <v>2</v>
      </c>
      <c r="L79" s="16" t="s">
        <v>6</v>
      </c>
      <c r="M79" s="16" t="s">
        <v>3</v>
      </c>
      <c r="N79" s="16" t="s">
        <v>3</v>
      </c>
      <c r="O79" s="16" t="s">
        <v>8</v>
      </c>
      <c r="P79" s="11" t="s">
        <v>17</v>
      </c>
      <c r="Q79" s="4">
        <v>8</v>
      </c>
      <c r="R79" s="5" t="s">
        <v>1076</v>
      </c>
      <c r="S79" s="5" t="b">
        <f t="shared" si="2"/>
        <v>1</v>
      </c>
    </row>
    <row r="80" spans="1:19" s="5" customFormat="1" ht="42" customHeight="1">
      <c r="A80" s="2">
        <v>78</v>
      </c>
      <c r="B80" s="12">
        <v>2544640469</v>
      </c>
      <c r="C80" s="21">
        <v>250371509251</v>
      </c>
      <c r="D80" s="17">
        <f t="shared" si="3"/>
        <v>250351</v>
      </c>
      <c r="E80" s="22" t="s">
        <v>1077</v>
      </c>
      <c r="F80" s="12" t="s">
        <v>29</v>
      </c>
      <c r="G80" s="14" t="s">
        <v>15</v>
      </c>
      <c r="H80" s="19" t="s">
        <v>85</v>
      </c>
      <c r="I80" s="16" t="s">
        <v>4</v>
      </c>
      <c r="J80" s="16" t="s">
        <v>5</v>
      </c>
      <c r="K80" s="16" t="s">
        <v>4</v>
      </c>
      <c r="L80" s="16" t="s">
        <v>4</v>
      </c>
      <c r="M80" s="16" t="s">
        <v>6</v>
      </c>
      <c r="N80" s="16" t="s">
        <v>5</v>
      </c>
      <c r="O80" s="16" t="s">
        <v>2</v>
      </c>
      <c r="P80" s="11" t="s">
        <v>17</v>
      </c>
      <c r="Q80" s="4">
        <v>6.666666666666667</v>
      </c>
      <c r="R80" s="5" t="s">
        <v>1077</v>
      </c>
      <c r="S80" s="5" t="b">
        <f t="shared" si="2"/>
        <v>1</v>
      </c>
    </row>
    <row r="81" spans="1:19" s="5" customFormat="1" ht="42" customHeight="1">
      <c r="A81" s="2">
        <v>79</v>
      </c>
      <c r="B81" s="12">
        <v>2544640298</v>
      </c>
      <c r="C81" s="21">
        <v>250371509252</v>
      </c>
      <c r="D81" s="17">
        <f t="shared" si="3"/>
        <v>250352</v>
      </c>
      <c r="E81" s="22" t="s">
        <v>1078</v>
      </c>
      <c r="F81" s="12" t="s">
        <v>29</v>
      </c>
      <c r="G81" s="14" t="s">
        <v>15</v>
      </c>
      <c r="H81" s="19" t="s">
        <v>85</v>
      </c>
      <c r="I81" s="16" t="s">
        <v>4</v>
      </c>
      <c r="J81" s="16" t="s">
        <v>4</v>
      </c>
      <c r="K81" s="16" t="s">
        <v>3</v>
      </c>
      <c r="L81" s="16" t="s">
        <v>3</v>
      </c>
      <c r="M81" s="16" t="s">
        <v>8</v>
      </c>
      <c r="N81" s="16" t="s">
        <v>6</v>
      </c>
      <c r="O81" s="16" t="s">
        <v>8</v>
      </c>
      <c r="P81" s="11" t="s">
        <v>17</v>
      </c>
      <c r="Q81" s="4">
        <v>7.3888888888888893</v>
      </c>
      <c r="R81" s="5" t="s">
        <v>1078</v>
      </c>
      <c r="S81" s="5" t="b">
        <f t="shared" si="2"/>
        <v>1</v>
      </c>
    </row>
    <row r="82" spans="1:19" s="5" customFormat="1" ht="42" customHeight="1">
      <c r="A82" s="2">
        <v>80</v>
      </c>
      <c r="B82" s="12">
        <v>2544640737</v>
      </c>
      <c r="C82" s="21">
        <v>250371509254</v>
      </c>
      <c r="D82" s="17">
        <f t="shared" si="3"/>
        <v>250353</v>
      </c>
      <c r="E82" s="22" t="s">
        <v>1079</v>
      </c>
      <c r="F82" s="12" t="s">
        <v>29</v>
      </c>
      <c r="G82" s="14" t="s">
        <v>15</v>
      </c>
      <c r="H82" s="19" t="s">
        <v>85</v>
      </c>
      <c r="I82" s="16" t="s">
        <v>6</v>
      </c>
      <c r="J82" s="16" t="s">
        <v>6</v>
      </c>
      <c r="K82" s="16" t="s">
        <v>6</v>
      </c>
      <c r="L82" s="16" t="s">
        <v>5</v>
      </c>
      <c r="M82" s="16" t="e">
        <v>#N/A</v>
      </c>
      <c r="N82" s="16" t="s">
        <v>4</v>
      </c>
      <c r="O82" s="16" t="e">
        <v>#N/A</v>
      </c>
      <c r="P82" s="11" t="s">
        <v>7</v>
      </c>
      <c r="Q82" s="4">
        <v>0</v>
      </c>
      <c r="R82" s="5" t="s">
        <v>1079</v>
      </c>
      <c r="S82" s="5" t="b">
        <f t="shared" si="2"/>
        <v>1</v>
      </c>
    </row>
    <row r="83" spans="1:19" s="5" customFormat="1" ht="42" customHeight="1">
      <c r="A83" s="2">
        <v>81</v>
      </c>
      <c r="B83" s="12">
        <v>2544640895</v>
      </c>
      <c r="C83" s="21">
        <v>250371509258</v>
      </c>
      <c r="D83" s="17">
        <f t="shared" si="3"/>
        <v>250354</v>
      </c>
      <c r="E83" s="22" t="s">
        <v>1080</v>
      </c>
      <c r="F83" s="12" t="s">
        <v>29</v>
      </c>
      <c r="G83" s="14" t="s">
        <v>15</v>
      </c>
      <c r="H83" s="19" t="s">
        <v>85</v>
      </c>
      <c r="I83" s="16" t="s">
        <v>4</v>
      </c>
      <c r="J83" s="16" t="s">
        <v>3</v>
      </c>
      <c r="K83" s="16" t="s">
        <v>4</v>
      </c>
      <c r="L83" s="16" t="s">
        <v>3</v>
      </c>
      <c r="M83" s="16" t="s">
        <v>2</v>
      </c>
      <c r="N83" s="16" t="s">
        <v>3</v>
      </c>
      <c r="O83" s="16" t="s">
        <v>8</v>
      </c>
      <c r="P83" s="11" t="s">
        <v>17</v>
      </c>
      <c r="Q83" s="4">
        <v>7.7777777777777777</v>
      </c>
      <c r="R83" s="5" t="s">
        <v>1080</v>
      </c>
      <c r="S83" s="5" t="b">
        <f t="shared" si="2"/>
        <v>1</v>
      </c>
    </row>
    <row r="84" spans="1:19" s="5" customFormat="1" ht="42" customHeight="1">
      <c r="A84" s="2">
        <v>82</v>
      </c>
      <c r="B84" s="12">
        <v>2544640303</v>
      </c>
      <c r="C84" s="21">
        <v>250371509259</v>
      </c>
      <c r="D84" s="17">
        <f t="shared" si="3"/>
        <v>250355</v>
      </c>
      <c r="E84" s="22" t="s">
        <v>1081</v>
      </c>
      <c r="F84" s="12" t="s">
        <v>29</v>
      </c>
      <c r="G84" s="14" t="s">
        <v>15</v>
      </c>
      <c r="H84" s="19" t="s">
        <v>85</v>
      </c>
      <c r="I84" s="16" t="s">
        <v>3</v>
      </c>
      <c r="J84" s="16" t="s">
        <v>3</v>
      </c>
      <c r="K84" s="16" t="s">
        <v>3</v>
      </c>
      <c r="L84" s="16" t="s">
        <v>3</v>
      </c>
      <c r="M84" s="16" t="s">
        <v>2</v>
      </c>
      <c r="N84" s="16" t="s">
        <v>3</v>
      </c>
      <c r="O84" s="16" t="s">
        <v>8</v>
      </c>
      <c r="P84" s="11" t="s">
        <v>17</v>
      </c>
      <c r="Q84" s="4">
        <v>8.1666666666666661</v>
      </c>
      <c r="R84" s="5" t="s">
        <v>1081</v>
      </c>
      <c r="S84" s="5" t="b">
        <f t="shared" si="2"/>
        <v>1</v>
      </c>
    </row>
    <row r="85" spans="1:19" s="5" customFormat="1" ht="42" customHeight="1">
      <c r="A85" s="2">
        <v>83</v>
      </c>
      <c r="B85" s="12">
        <v>2544640738</v>
      </c>
      <c r="C85" s="21">
        <v>250371509262</v>
      </c>
      <c r="D85" s="17">
        <f t="shared" si="3"/>
        <v>250356</v>
      </c>
      <c r="E85" s="22" t="s">
        <v>1082</v>
      </c>
      <c r="F85" s="12" t="s">
        <v>29</v>
      </c>
      <c r="G85" s="14" t="s">
        <v>15</v>
      </c>
      <c r="H85" s="19" t="s">
        <v>85</v>
      </c>
      <c r="I85" s="16" t="s">
        <v>6</v>
      </c>
      <c r="J85" s="16" t="s">
        <v>3</v>
      </c>
      <c r="K85" s="16" t="s">
        <v>6</v>
      </c>
      <c r="L85" s="16" t="s">
        <v>4</v>
      </c>
      <c r="M85" s="16" t="s">
        <v>3</v>
      </c>
      <c r="N85" s="16" t="s">
        <v>5</v>
      </c>
      <c r="O85" s="16" t="s">
        <v>2</v>
      </c>
      <c r="P85" s="11" t="s">
        <v>17</v>
      </c>
      <c r="Q85" s="4">
        <v>6.39</v>
      </c>
      <c r="R85" s="5" t="s">
        <v>1082</v>
      </c>
      <c r="S85" s="5" t="b">
        <f t="shared" si="2"/>
        <v>1</v>
      </c>
    </row>
    <row r="86" spans="1:19" s="5" customFormat="1" ht="42" customHeight="1">
      <c r="A86" s="2">
        <v>84</v>
      </c>
      <c r="B86" s="12">
        <v>2544640702</v>
      </c>
      <c r="C86" s="21">
        <v>250371509263</v>
      </c>
      <c r="D86" s="17">
        <f t="shared" si="3"/>
        <v>250357</v>
      </c>
      <c r="E86" s="22" t="s">
        <v>1083</v>
      </c>
      <c r="F86" s="12" t="s">
        <v>29</v>
      </c>
      <c r="G86" s="14" t="s">
        <v>15</v>
      </c>
      <c r="H86" s="19" t="s">
        <v>85</v>
      </c>
      <c r="I86" s="16" t="s">
        <v>4</v>
      </c>
      <c r="J86" s="16" t="s">
        <v>5</v>
      </c>
      <c r="K86" s="16" t="s">
        <v>4</v>
      </c>
      <c r="L86" s="16" t="s">
        <v>3</v>
      </c>
      <c r="M86" s="16" t="s">
        <v>8</v>
      </c>
      <c r="N86" s="16" t="s">
        <v>3</v>
      </c>
      <c r="O86" s="16" t="s">
        <v>8</v>
      </c>
      <c r="P86" s="11" t="s">
        <v>17</v>
      </c>
      <c r="Q86" s="4">
        <v>7.5</v>
      </c>
      <c r="R86" s="5" t="s">
        <v>1083</v>
      </c>
      <c r="S86" s="5" t="b">
        <f t="shared" si="2"/>
        <v>1</v>
      </c>
    </row>
    <row r="87" spans="1:19" s="5" customFormat="1" ht="42" customHeight="1">
      <c r="A87" s="2">
        <v>85</v>
      </c>
      <c r="B87" s="12">
        <v>2544640811</v>
      </c>
      <c r="C87" s="21">
        <v>250371509264</v>
      </c>
      <c r="D87" s="17">
        <f t="shared" si="3"/>
        <v>250358</v>
      </c>
      <c r="E87" s="22" t="s">
        <v>1084</v>
      </c>
      <c r="F87" s="12" t="s">
        <v>29</v>
      </c>
      <c r="G87" s="14" t="s">
        <v>15</v>
      </c>
      <c r="H87" s="19" t="s">
        <v>85</v>
      </c>
      <c r="I87" s="16" t="s">
        <v>4</v>
      </c>
      <c r="J87" s="16" t="s">
        <v>11</v>
      </c>
      <c r="K87" s="16" t="s">
        <v>6</v>
      </c>
      <c r="L87" s="16" t="s">
        <v>3</v>
      </c>
      <c r="M87" s="16" t="s">
        <v>3</v>
      </c>
      <c r="N87" s="16" t="s">
        <v>3</v>
      </c>
      <c r="O87" s="16" t="s">
        <v>8</v>
      </c>
      <c r="P87" s="11" t="s">
        <v>17</v>
      </c>
      <c r="Q87" s="4">
        <v>6.6111111111111107</v>
      </c>
      <c r="R87" s="5" t="s">
        <v>1084</v>
      </c>
      <c r="S87" s="5" t="b">
        <f t="shared" si="2"/>
        <v>1</v>
      </c>
    </row>
    <row r="88" spans="1:19" s="5" customFormat="1" ht="42" customHeight="1">
      <c r="A88" s="2">
        <v>86</v>
      </c>
      <c r="B88" s="12">
        <v>2544640639</v>
      </c>
      <c r="C88" s="21">
        <v>250371509267</v>
      </c>
      <c r="D88" s="17">
        <f t="shared" si="3"/>
        <v>250359</v>
      </c>
      <c r="E88" s="22" t="s">
        <v>1085</v>
      </c>
      <c r="F88" s="12" t="s">
        <v>29</v>
      </c>
      <c r="G88" s="14" t="s">
        <v>15</v>
      </c>
      <c r="H88" s="19" t="s">
        <v>85</v>
      </c>
      <c r="I88" s="16" t="s">
        <v>3</v>
      </c>
      <c r="J88" s="16" t="s">
        <v>5</v>
      </c>
      <c r="K88" s="16" t="s">
        <v>4</v>
      </c>
      <c r="L88" s="16" t="s">
        <v>2</v>
      </c>
      <c r="M88" s="16" t="s">
        <v>4</v>
      </c>
      <c r="N88" s="16" t="s">
        <v>3</v>
      </c>
      <c r="O88" s="16" t="s">
        <v>2</v>
      </c>
      <c r="P88" s="11" t="s">
        <v>17</v>
      </c>
      <c r="Q88" s="4">
        <v>7.6111111111111107</v>
      </c>
      <c r="R88" s="5" t="s">
        <v>1085</v>
      </c>
      <c r="S88" s="5" t="b">
        <f t="shared" si="2"/>
        <v>1</v>
      </c>
    </row>
    <row r="89" spans="1:19" s="5" customFormat="1" ht="42" customHeight="1">
      <c r="A89" s="2">
        <v>87</v>
      </c>
      <c r="B89" s="12">
        <v>2544640271</v>
      </c>
      <c r="C89" s="21">
        <v>250371509269</v>
      </c>
      <c r="D89" s="17">
        <f t="shared" si="3"/>
        <v>250360</v>
      </c>
      <c r="E89" s="22" t="s">
        <v>1086</v>
      </c>
      <c r="F89" s="12" t="s">
        <v>29</v>
      </c>
      <c r="G89" s="14" t="s">
        <v>15</v>
      </c>
      <c r="H89" s="19" t="s">
        <v>85</v>
      </c>
      <c r="I89" s="16" t="s">
        <v>3</v>
      </c>
      <c r="J89" s="16" t="s">
        <v>4</v>
      </c>
      <c r="K89" s="16" t="s">
        <v>3</v>
      </c>
      <c r="L89" s="16" t="s">
        <v>2</v>
      </c>
      <c r="M89" s="16" t="s">
        <v>8</v>
      </c>
      <c r="N89" s="16" t="s">
        <v>2</v>
      </c>
      <c r="O89" s="16" t="s">
        <v>8</v>
      </c>
      <c r="P89" s="11" t="s">
        <v>17</v>
      </c>
      <c r="Q89" s="4">
        <v>8.3888888888888893</v>
      </c>
      <c r="R89" s="5" t="s">
        <v>1086</v>
      </c>
      <c r="S89" s="5" t="b">
        <f t="shared" si="2"/>
        <v>1</v>
      </c>
    </row>
    <row r="90" spans="1:19" s="5" customFormat="1" ht="42" customHeight="1">
      <c r="A90" s="2">
        <v>88</v>
      </c>
      <c r="B90" s="12">
        <v>2544640513</v>
      </c>
      <c r="C90" s="21">
        <v>250371509273</v>
      </c>
      <c r="D90" s="17">
        <f t="shared" si="3"/>
        <v>250361</v>
      </c>
      <c r="E90" s="22" t="s">
        <v>1087</v>
      </c>
      <c r="F90" s="12" t="s">
        <v>29</v>
      </c>
      <c r="G90" s="14" t="s">
        <v>15</v>
      </c>
      <c r="H90" s="19" t="s">
        <v>85</v>
      </c>
      <c r="I90" s="16" t="s">
        <v>4</v>
      </c>
      <c r="J90" s="16" t="s">
        <v>11</v>
      </c>
      <c r="K90" s="16" t="s">
        <v>6</v>
      </c>
      <c r="L90" s="16" t="s">
        <v>2</v>
      </c>
      <c r="M90" s="16" t="s">
        <v>3</v>
      </c>
      <c r="N90" s="16" t="s">
        <v>7</v>
      </c>
      <c r="O90" s="16" t="s">
        <v>3</v>
      </c>
      <c r="P90" s="11" t="s">
        <v>7</v>
      </c>
      <c r="Q90" s="4">
        <v>0</v>
      </c>
      <c r="R90" s="5" t="s">
        <v>1087</v>
      </c>
      <c r="S90" s="5" t="b">
        <f t="shared" si="2"/>
        <v>1</v>
      </c>
    </row>
    <row r="91" spans="1:19" s="5" customFormat="1" ht="42" customHeight="1">
      <c r="A91" s="2">
        <v>89</v>
      </c>
      <c r="B91" s="12">
        <v>2544640237</v>
      </c>
      <c r="C91" s="21">
        <v>250371509278</v>
      </c>
      <c r="D91" s="17">
        <f t="shared" si="3"/>
        <v>250362</v>
      </c>
      <c r="E91" s="22" t="s">
        <v>1088</v>
      </c>
      <c r="F91" s="12" t="s">
        <v>29</v>
      </c>
      <c r="G91" s="14" t="s">
        <v>15</v>
      </c>
      <c r="H91" s="19" t="s">
        <v>85</v>
      </c>
      <c r="I91" s="16" t="s">
        <v>7</v>
      </c>
      <c r="J91" s="16" t="s">
        <v>5</v>
      </c>
      <c r="K91" s="16" t="s">
        <v>5</v>
      </c>
      <c r="L91" s="16" t="s">
        <v>3</v>
      </c>
      <c r="M91" s="16" t="s">
        <v>4</v>
      </c>
      <c r="N91" s="16" t="s">
        <v>3</v>
      </c>
      <c r="O91" s="16" t="s">
        <v>8</v>
      </c>
      <c r="P91" s="11" t="s">
        <v>7</v>
      </c>
      <c r="Q91" s="4">
        <v>0</v>
      </c>
      <c r="R91" s="5" t="s">
        <v>1088</v>
      </c>
      <c r="S91" s="5" t="b">
        <f t="shared" si="2"/>
        <v>1</v>
      </c>
    </row>
    <row r="92" spans="1:19" s="5" customFormat="1" ht="42" customHeight="1">
      <c r="A92" s="2">
        <v>90</v>
      </c>
      <c r="B92" s="12">
        <v>2544640809</v>
      </c>
      <c r="C92" s="21">
        <v>250371509279</v>
      </c>
      <c r="D92" s="17">
        <f t="shared" si="3"/>
        <v>250363</v>
      </c>
      <c r="E92" s="22" t="s">
        <v>1089</v>
      </c>
      <c r="F92" s="12" t="s">
        <v>29</v>
      </c>
      <c r="G92" s="14" t="s">
        <v>15</v>
      </c>
      <c r="H92" s="19" t="s">
        <v>85</v>
      </c>
      <c r="I92" s="16" t="s">
        <v>6</v>
      </c>
      <c r="J92" s="16" t="s">
        <v>6</v>
      </c>
      <c r="K92" s="16" t="s">
        <v>7</v>
      </c>
      <c r="L92" s="16" t="s">
        <v>4</v>
      </c>
      <c r="M92" s="16" t="s">
        <v>3</v>
      </c>
      <c r="N92" s="16" t="s">
        <v>6</v>
      </c>
      <c r="O92" s="16" t="s">
        <v>2</v>
      </c>
      <c r="P92" s="11" t="s">
        <v>7</v>
      </c>
      <c r="Q92" s="4">
        <v>0</v>
      </c>
      <c r="R92" s="5" t="s">
        <v>1089</v>
      </c>
      <c r="S92" s="5" t="b">
        <f t="shared" si="2"/>
        <v>1</v>
      </c>
    </row>
    <row r="93" spans="1:19" s="5" customFormat="1" ht="42" customHeight="1">
      <c r="A93" s="2">
        <v>91</v>
      </c>
      <c r="B93" s="12">
        <v>2544640465</v>
      </c>
      <c r="C93" s="21">
        <v>250371509290</v>
      </c>
      <c r="D93" s="17">
        <f t="shared" si="3"/>
        <v>250364</v>
      </c>
      <c r="E93" s="22" t="s">
        <v>1090</v>
      </c>
      <c r="F93" s="12" t="s">
        <v>29</v>
      </c>
      <c r="G93" s="14" t="s">
        <v>15</v>
      </c>
      <c r="H93" s="19" t="s">
        <v>85</v>
      </c>
      <c r="I93" s="16" t="s">
        <v>7</v>
      </c>
      <c r="J93" s="16" t="s">
        <v>6</v>
      </c>
      <c r="K93" s="16" t="s">
        <v>6</v>
      </c>
      <c r="L93" s="16" t="s">
        <v>3</v>
      </c>
      <c r="M93" s="16" t="s">
        <v>6</v>
      </c>
      <c r="N93" s="16" t="s">
        <v>5</v>
      </c>
      <c r="O93" s="16" t="s">
        <v>3</v>
      </c>
      <c r="P93" s="11" t="s">
        <v>7</v>
      </c>
      <c r="Q93" s="4">
        <v>0</v>
      </c>
      <c r="R93" s="5" t="s">
        <v>1090</v>
      </c>
      <c r="S93" s="5" t="b">
        <f t="shared" si="2"/>
        <v>1</v>
      </c>
    </row>
    <row r="94" spans="1:19" s="5" customFormat="1" ht="42" customHeight="1">
      <c r="A94" s="2">
        <v>92</v>
      </c>
      <c r="B94" s="12">
        <v>2544640721</v>
      </c>
      <c r="C94" s="21">
        <v>250371509291</v>
      </c>
      <c r="D94" s="17">
        <f t="shared" si="3"/>
        <v>250365</v>
      </c>
      <c r="E94" s="22" t="s">
        <v>1091</v>
      </c>
      <c r="F94" s="12" t="s">
        <v>29</v>
      </c>
      <c r="G94" s="14" t="s">
        <v>15</v>
      </c>
      <c r="H94" s="19" t="s">
        <v>85</v>
      </c>
      <c r="I94" s="16" t="s">
        <v>4</v>
      </c>
      <c r="J94" s="16" t="s">
        <v>4</v>
      </c>
      <c r="K94" s="16" t="s">
        <v>2</v>
      </c>
      <c r="L94" s="16" t="s">
        <v>2</v>
      </c>
      <c r="M94" s="16" t="s">
        <v>3</v>
      </c>
      <c r="N94" s="16" t="s">
        <v>5</v>
      </c>
      <c r="O94" s="16" t="s">
        <v>2</v>
      </c>
      <c r="P94" s="11" t="s">
        <v>17</v>
      </c>
      <c r="Q94" s="4">
        <v>7.7777777777777777</v>
      </c>
      <c r="R94" s="5" t="s">
        <v>1091</v>
      </c>
      <c r="S94" s="5" t="b">
        <f t="shared" si="2"/>
        <v>1</v>
      </c>
    </row>
    <row r="95" spans="1:19" s="5" customFormat="1" ht="42" customHeight="1">
      <c r="A95" s="2">
        <v>93</v>
      </c>
      <c r="B95" s="12">
        <v>2544640875</v>
      </c>
      <c r="C95" s="21">
        <v>250371509292</v>
      </c>
      <c r="D95" s="17">
        <f t="shared" si="3"/>
        <v>250366</v>
      </c>
      <c r="E95" s="22" t="s">
        <v>1092</v>
      </c>
      <c r="F95" s="12" t="s">
        <v>29</v>
      </c>
      <c r="G95" s="14" t="s">
        <v>15</v>
      </c>
      <c r="H95" s="19" t="s">
        <v>85</v>
      </c>
      <c r="I95" s="16" t="s">
        <v>2</v>
      </c>
      <c r="J95" s="16" t="s">
        <v>4</v>
      </c>
      <c r="K95" s="16" t="s">
        <v>3</v>
      </c>
      <c r="L95" s="16" t="s">
        <v>2</v>
      </c>
      <c r="M95" s="16" t="s">
        <v>3</v>
      </c>
      <c r="N95" s="16" t="s">
        <v>3</v>
      </c>
      <c r="O95" s="16" t="s">
        <v>8</v>
      </c>
      <c r="P95" s="11" t="s">
        <v>17</v>
      </c>
      <c r="Q95" s="4">
        <v>8.2777777777777786</v>
      </c>
      <c r="R95" s="5" t="s">
        <v>1092</v>
      </c>
      <c r="S95" s="5" t="b">
        <f t="shared" si="2"/>
        <v>1</v>
      </c>
    </row>
    <row r="96" spans="1:19" s="5" customFormat="1" ht="42" customHeight="1">
      <c r="A96" s="2">
        <v>94</v>
      </c>
      <c r="B96" s="12">
        <v>2544640720</v>
      </c>
      <c r="C96" s="21">
        <v>250371509298</v>
      </c>
      <c r="D96" s="17">
        <f t="shared" si="3"/>
        <v>250367</v>
      </c>
      <c r="E96" s="22" t="s">
        <v>1093</v>
      </c>
      <c r="F96" s="12" t="s">
        <v>29</v>
      </c>
      <c r="G96" s="14" t="s">
        <v>15</v>
      </c>
      <c r="H96" s="19" t="s">
        <v>85</v>
      </c>
      <c r="I96" s="16" t="s">
        <v>4</v>
      </c>
      <c r="J96" s="16" t="s">
        <v>7</v>
      </c>
      <c r="K96" s="16" t="s">
        <v>7</v>
      </c>
      <c r="L96" s="16" t="s">
        <v>4</v>
      </c>
      <c r="M96" s="16" t="s">
        <v>3</v>
      </c>
      <c r="N96" s="16" t="s">
        <v>6</v>
      </c>
      <c r="O96" s="16" t="s">
        <v>2</v>
      </c>
      <c r="P96" s="11" t="s">
        <v>7</v>
      </c>
      <c r="Q96" s="4">
        <v>0</v>
      </c>
      <c r="R96" s="5" t="s">
        <v>1093</v>
      </c>
      <c r="S96" s="5" t="b">
        <f t="shared" si="2"/>
        <v>1</v>
      </c>
    </row>
    <row r="97" spans="1:19" s="5" customFormat="1" ht="42" customHeight="1">
      <c r="A97" s="2">
        <v>95</v>
      </c>
      <c r="B97" s="12">
        <v>2544640430</v>
      </c>
      <c r="C97" s="21">
        <v>250371509300</v>
      </c>
      <c r="D97" s="17">
        <f t="shared" si="3"/>
        <v>250368</v>
      </c>
      <c r="E97" s="22" t="s">
        <v>1094</v>
      </c>
      <c r="F97" s="12" t="s">
        <v>29</v>
      </c>
      <c r="G97" s="14" t="s">
        <v>15</v>
      </c>
      <c r="H97" s="19" t="s">
        <v>85</v>
      </c>
      <c r="I97" s="16" t="s">
        <v>4</v>
      </c>
      <c r="J97" s="16" t="s">
        <v>4</v>
      </c>
      <c r="K97" s="16" t="s">
        <v>7</v>
      </c>
      <c r="L97" s="16" t="s">
        <v>4</v>
      </c>
      <c r="M97" s="16" t="s">
        <v>6</v>
      </c>
      <c r="N97" s="16" t="s">
        <v>3</v>
      </c>
      <c r="O97" s="16" t="s">
        <v>4</v>
      </c>
      <c r="P97" s="11" t="s">
        <v>7</v>
      </c>
      <c r="Q97" s="4">
        <v>0</v>
      </c>
      <c r="R97" s="5" t="s">
        <v>1094</v>
      </c>
      <c r="S97" s="5" t="b">
        <f t="shared" si="2"/>
        <v>1</v>
      </c>
    </row>
  </sheetData>
  <autoFilter ref="R2:S97"/>
  <mergeCells count="8">
    <mergeCell ref="H1:H2"/>
    <mergeCell ref="Q1:Q2"/>
    <mergeCell ref="A1:A2"/>
    <mergeCell ref="B1:B2"/>
    <mergeCell ref="C1:C2"/>
    <mergeCell ref="E1:E2"/>
    <mergeCell ref="F1:F2"/>
    <mergeCell ref="G1:G2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0B050"/>
  </sheetPr>
  <dimension ref="A1:S3"/>
  <sheetViews>
    <sheetView topLeftCell="F2" workbookViewId="0">
      <selection activeCell="F20" sqref="F20"/>
    </sheetView>
  </sheetViews>
  <sheetFormatPr defaultRowHeight="15"/>
  <cols>
    <col min="1" max="1" width="6.5703125" style="6" bestFit="1" customWidth="1"/>
    <col min="2" max="2" width="16.28515625" style="6" customWidth="1"/>
    <col min="3" max="3" width="18.28515625" style="6" bestFit="1" customWidth="1"/>
    <col min="4" max="4" width="18.28515625" style="6" customWidth="1"/>
    <col min="5" max="5" width="44.5703125" style="6" customWidth="1"/>
    <col min="6" max="6" width="12.140625" style="9" customWidth="1"/>
    <col min="7" max="8" width="13.42578125" style="6" customWidth="1"/>
    <col min="9" max="9" width="17.85546875" style="6" customWidth="1"/>
    <col min="10" max="10" width="18.5703125" style="6" customWidth="1"/>
    <col min="11" max="11" width="18.85546875" style="6" customWidth="1"/>
    <col min="12" max="16" width="17.85546875" style="6" customWidth="1"/>
    <col min="17" max="17" width="9.140625" style="7" customWidth="1"/>
    <col min="18" max="18" width="38.7109375" style="6" customWidth="1"/>
    <col min="19" max="19" width="20.7109375" style="6" customWidth="1"/>
    <col min="20" max="16384" width="9.140625" style="6"/>
  </cols>
  <sheetData>
    <row r="1" spans="1:19" s="8" customFormat="1" ht="127.5" customHeight="1">
      <c r="A1" s="53" t="s">
        <v>1</v>
      </c>
      <c r="B1" s="53" t="s">
        <v>16</v>
      </c>
      <c r="C1" s="53" t="s">
        <v>12</v>
      </c>
      <c r="D1" s="42" t="s">
        <v>1520</v>
      </c>
      <c r="E1" s="53" t="s">
        <v>13</v>
      </c>
      <c r="F1" s="53" t="s">
        <v>14</v>
      </c>
      <c r="G1" s="53" t="s">
        <v>0</v>
      </c>
      <c r="H1" s="53" t="s">
        <v>31</v>
      </c>
      <c r="I1" s="1" t="s">
        <v>78</v>
      </c>
      <c r="J1" s="1" t="s">
        <v>610</v>
      </c>
      <c r="K1" s="1" t="s">
        <v>80</v>
      </c>
      <c r="L1" s="1" t="s">
        <v>391</v>
      </c>
      <c r="M1" s="1" t="s">
        <v>393</v>
      </c>
      <c r="N1" s="1" t="s">
        <v>392</v>
      </c>
      <c r="O1" s="1" t="s">
        <v>394</v>
      </c>
      <c r="P1" s="1" t="s">
        <v>10</v>
      </c>
      <c r="Q1" s="55" t="s">
        <v>9</v>
      </c>
    </row>
    <row r="2" spans="1:19" s="8" customFormat="1" ht="29.25" customHeight="1">
      <c r="A2" s="54"/>
      <c r="B2" s="54"/>
      <c r="C2" s="54"/>
      <c r="D2" s="43"/>
      <c r="E2" s="54"/>
      <c r="F2" s="54"/>
      <c r="G2" s="54"/>
      <c r="H2" s="54"/>
      <c r="I2" s="10">
        <v>3</v>
      </c>
      <c r="J2" s="10">
        <v>3</v>
      </c>
      <c r="K2" s="10">
        <v>4</v>
      </c>
      <c r="L2" s="10">
        <v>3</v>
      </c>
      <c r="M2" s="10">
        <v>1</v>
      </c>
      <c r="N2" s="10">
        <v>3</v>
      </c>
      <c r="O2" s="10">
        <v>1</v>
      </c>
      <c r="P2" s="10">
        <f>SUM(I2:O2)</f>
        <v>18</v>
      </c>
      <c r="Q2" s="56"/>
      <c r="R2" s="8" t="s">
        <v>1542</v>
      </c>
      <c r="S2" s="8" t="s">
        <v>1543</v>
      </c>
    </row>
    <row r="3" spans="1:19" s="5" customFormat="1" ht="42" customHeight="1">
      <c r="A3" s="2">
        <v>1</v>
      </c>
      <c r="B3" s="17">
        <v>2544641040</v>
      </c>
      <c r="C3" s="17">
        <v>250371509074</v>
      </c>
      <c r="D3" s="17">
        <v>250369</v>
      </c>
      <c r="E3" s="18" t="s">
        <v>1095</v>
      </c>
      <c r="F3" s="17" t="s">
        <v>29</v>
      </c>
      <c r="G3" s="19" t="s">
        <v>15</v>
      </c>
      <c r="H3" s="19"/>
      <c r="I3" s="20" t="s">
        <v>3</v>
      </c>
      <c r="J3" s="20" t="s">
        <v>8</v>
      </c>
      <c r="K3" s="20" t="s">
        <v>2</v>
      </c>
      <c r="L3" s="20" t="s">
        <v>5</v>
      </c>
      <c r="M3" s="20" t="s">
        <v>8</v>
      </c>
      <c r="N3" s="20" t="s">
        <v>8</v>
      </c>
      <c r="O3" s="20" t="s">
        <v>8</v>
      </c>
      <c r="P3" s="11" t="s">
        <v>17</v>
      </c>
      <c r="Q3" s="4">
        <v>8.7777777777777786</v>
      </c>
      <c r="R3" s="5" t="str">
        <f>VLOOKUP(C3,'[1]Sheet1 (2)'!$C:$D,2,0)</f>
        <v>FANELE GOODWILL NCUBE</v>
      </c>
      <c r="S3" s="5" t="b">
        <f>R3=E3</f>
        <v>1</v>
      </c>
    </row>
  </sheetData>
  <autoFilter ref="A1:Q3">
    <filterColumn colId="3"/>
    <filterColumn colId="7"/>
    <filterColumn colId="12"/>
    <filterColumn colId="13"/>
    <filterColumn colId="14"/>
  </autoFilter>
  <mergeCells count="8">
    <mergeCell ref="H1:H2"/>
    <mergeCell ref="Q1:Q2"/>
    <mergeCell ref="A1:A2"/>
    <mergeCell ref="B1:B2"/>
    <mergeCell ref="C1:C2"/>
    <mergeCell ref="E1:E2"/>
    <mergeCell ref="F1:F2"/>
    <mergeCell ref="G1:G2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00B050"/>
  </sheetPr>
  <dimension ref="A1:S103"/>
  <sheetViews>
    <sheetView zoomScale="70" zoomScaleNormal="70" workbookViewId="0">
      <selection activeCell="F20" sqref="F20"/>
    </sheetView>
  </sheetViews>
  <sheetFormatPr defaultRowHeight="15"/>
  <cols>
    <col min="1" max="1" width="6.5703125" style="6" bestFit="1" customWidth="1"/>
    <col min="2" max="2" width="16.28515625" style="6" customWidth="1"/>
    <col min="3" max="4" width="20" style="6" customWidth="1"/>
    <col min="5" max="5" width="44.5703125" style="6" customWidth="1"/>
    <col min="6" max="6" width="12.140625" style="9" customWidth="1"/>
    <col min="7" max="8" width="13.42578125" style="6" customWidth="1"/>
    <col min="9" max="9" width="17.85546875" style="6" customWidth="1"/>
    <col min="10" max="10" width="18.5703125" style="6" customWidth="1"/>
    <col min="11" max="11" width="18.85546875" style="6" customWidth="1"/>
    <col min="12" max="16" width="17.85546875" style="6" customWidth="1"/>
    <col min="17" max="17" width="8.85546875" style="7" bestFit="1" customWidth="1"/>
    <col min="18" max="18" width="48.85546875" style="6" customWidth="1"/>
    <col min="19" max="19" width="20.5703125" style="6" customWidth="1"/>
    <col min="20" max="16384" width="9.140625" style="6"/>
  </cols>
  <sheetData>
    <row r="1" spans="1:19" s="8" customFormat="1" ht="127.5" customHeight="1">
      <c r="A1" s="53" t="s">
        <v>1</v>
      </c>
      <c r="B1" s="53" t="s">
        <v>16</v>
      </c>
      <c r="C1" s="53" t="s">
        <v>12</v>
      </c>
      <c r="D1" s="44" t="s">
        <v>1520</v>
      </c>
      <c r="E1" s="53" t="s">
        <v>13</v>
      </c>
      <c r="F1" s="53" t="s">
        <v>14</v>
      </c>
      <c r="G1" s="53" t="s">
        <v>0</v>
      </c>
      <c r="H1" s="53" t="s">
        <v>31</v>
      </c>
      <c r="I1" s="1" t="s">
        <v>78</v>
      </c>
      <c r="J1" s="1" t="s">
        <v>79</v>
      </c>
      <c r="K1" s="1" t="s">
        <v>80</v>
      </c>
      <c r="L1" s="1" t="s">
        <v>391</v>
      </c>
      <c r="M1" s="1" t="s">
        <v>393</v>
      </c>
      <c r="N1" s="1" t="s">
        <v>392</v>
      </c>
      <c r="O1" s="1" t="s">
        <v>394</v>
      </c>
      <c r="P1" s="1" t="s">
        <v>10</v>
      </c>
      <c r="Q1" s="55" t="s">
        <v>9</v>
      </c>
    </row>
    <row r="2" spans="1:19" s="8" customFormat="1" ht="29.25" customHeight="1">
      <c r="A2" s="54"/>
      <c r="B2" s="54"/>
      <c r="C2" s="54"/>
      <c r="D2" s="45"/>
      <c r="E2" s="54"/>
      <c r="F2" s="54"/>
      <c r="G2" s="54"/>
      <c r="H2" s="54"/>
      <c r="I2" s="10">
        <v>3</v>
      </c>
      <c r="J2" s="10">
        <v>3</v>
      </c>
      <c r="K2" s="10">
        <v>4</v>
      </c>
      <c r="L2" s="10">
        <v>3</v>
      </c>
      <c r="M2" s="10">
        <v>1</v>
      </c>
      <c r="N2" s="10">
        <v>3</v>
      </c>
      <c r="O2" s="10">
        <v>1</v>
      </c>
      <c r="P2" s="10">
        <f>SUM(I2:O2)</f>
        <v>18</v>
      </c>
      <c r="Q2" s="56"/>
      <c r="R2" s="8" t="s">
        <v>1542</v>
      </c>
      <c r="S2" s="8" t="s">
        <v>1543</v>
      </c>
    </row>
    <row r="3" spans="1:19" s="5" customFormat="1" ht="42" customHeight="1">
      <c r="A3" s="2">
        <v>1</v>
      </c>
      <c r="B3" s="12">
        <v>2544640606</v>
      </c>
      <c r="C3" s="21">
        <v>250371518001</v>
      </c>
      <c r="D3" s="17">
        <v>250370</v>
      </c>
      <c r="E3" s="22" t="s">
        <v>1096</v>
      </c>
      <c r="F3" s="12" t="s">
        <v>19</v>
      </c>
      <c r="G3" s="14" t="s">
        <v>15</v>
      </c>
      <c r="H3" s="19" t="s">
        <v>34</v>
      </c>
      <c r="I3" s="20" t="s">
        <v>3</v>
      </c>
      <c r="J3" s="20" t="s">
        <v>2</v>
      </c>
      <c r="K3" s="20" t="s">
        <v>3</v>
      </c>
      <c r="L3" s="20" t="s">
        <v>3</v>
      </c>
      <c r="M3" s="20" t="s">
        <v>8</v>
      </c>
      <c r="N3" s="20" t="s">
        <v>4</v>
      </c>
      <c r="O3" s="20" t="s">
        <v>3</v>
      </c>
      <c r="P3" s="11" t="s">
        <v>17</v>
      </c>
      <c r="Q3" s="4">
        <v>8.1111111111111107</v>
      </c>
      <c r="R3" s="5" t="s">
        <v>1096</v>
      </c>
      <c r="S3" s="8" t="b">
        <f>R3=E3</f>
        <v>1</v>
      </c>
    </row>
    <row r="4" spans="1:19" s="5" customFormat="1" ht="42" customHeight="1">
      <c r="A4" s="2">
        <v>2</v>
      </c>
      <c r="B4" s="12">
        <v>2544640377</v>
      </c>
      <c r="C4" s="21">
        <v>250371518002</v>
      </c>
      <c r="D4" s="17">
        <f>D3+1</f>
        <v>250371</v>
      </c>
      <c r="E4" s="22" t="s">
        <v>1097</v>
      </c>
      <c r="F4" s="12" t="s">
        <v>19</v>
      </c>
      <c r="G4" s="14" t="s">
        <v>15</v>
      </c>
      <c r="H4" s="19" t="s">
        <v>34</v>
      </c>
      <c r="I4" s="20" t="s">
        <v>4</v>
      </c>
      <c r="J4" s="20" t="s">
        <v>4</v>
      </c>
      <c r="K4" s="20" t="s">
        <v>4</v>
      </c>
      <c r="L4" s="20" t="s">
        <v>3</v>
      </c>
      <c r="M4" s="20" t="s">
        <v>2</v>
      </c>
      <c r="N4" s="20" t="s">
        <v>3</v>
      </c>
      <c r="O4" s="20" t="s">
        <v>4</v>
      </c>
      <c r="P4" s="11" t="s">
        <v>17</v>
      </c>
      <c r="Q4" s="4">
        <v>7.4444444444444446</v>
      </c>
      <c r="R4" s="5" t="s">
        <v>1097</v>
      </c>
      <c r="S4" s="8" t="b">
        <f t="shared" ref="S4:S67" si="0">R4=E4</f>
        <v>1</v>
      </c>
    </row>
    <row r="5" spans="1:19" s="5" customFormat="1" ht="42" customHeight="1">
      <c r="A5" s="2">
        <v>3</v>
      </c>
      <c r="B5" s="12">
        <v>2544640775</v>
      </c>
      <c r="C5" s="21">
        <v>250371518003</v>
      </c>
      <c r="D5" s="17">
        <f t="shared" ref="D5:D68" si="1">D4+1</f>
        <v>250372</v>
      </c>
      <c r="E5" s="22" t="s">
        <v>1098</v>
      </c>
      <c r="F5" s="12" t="s">
        <v>19</v>
      </c>
      <c r="G5" s="14" t="s">
        <v>15</v>
      </c>
      <c r="H5" s="19" t="s">
        <v>34</v>
      </c>
      <c r="I5" s="20" t="s">
        <v>2</v>
      </c>
      <c r="J5" s="20" t="s">
        <v>8</v>
      </c>
      <c r="K5" s="20" t="s">
        <v>3</v>
      </c>
      <c r="L5" s="20" t="s">
        <v>8</v>
      </c>
      <c r="M5" s="20" t="s">
        <v>8</v>
      </c>
      <c r="N5" s="20" t="s">
        <v>2</v>
      </c>
      <c r="O5" s="20" t="s">
        <v>8</v>
      </c>
      <c r="P5" s="11" t="s">
        <v>17</v>
      </c>
      <c r="Q5" s="4">
        <v>9.2222222222222214</v>
      </c>
      <c r="R5" s="5" t="s">
        <v>1098</v>
      </c>
      <c r="S5" s="8" t="b">
        <f t="shared" si="0"/>
        <v>1</v>
      </c>
    </row>
    <row r="6" spans="1:19" s="5" customFormat="1" ht="42" customHeight="1">
      <c r="A6" s="2">
        <v>4</v>
      </c>
      <c r="B6" s="12">
        <v>2544640246</v>
      </c>
      <c r="C6" s="21">
        <v>250371518004</v>
      </c>
      <c r="D6" s="17">
        <f t="shared" si="1"/>
        <v>250373</v>
      </c>
      <c r="E6" s="22" t="s">
        <v>1099</v>
      </c>
      <c r="F6" s="12" t="s">
        <v>19</v>
      </c>
      <c r="G6" s="14" t="s">
        <v>15</v>
      </c>
      <c r="H6" s="19" t="s">
        <v>34</v>
      </c>
      <c r="I6" s="20" t="s">
        <v>3</v>
      </c>
      <c r="J6" s="20" t="s">
        <v>2</v>
      </c>
      <c r="K6" s="20" t="s">
        <v>5</v>
      </c>
      <c r="L6" s="20" t="s">
        <v>3</v>
      </c>
      <c r="M6" s="20" t="s">
        <v>3</v>
      </c>
      <c r="N6" s="20" t="s">
        <v>4</v>
      </c>
      <c r="O6" s="20" t="s">
        <v>2</v>
      </c>
      <c r="P6" s="11" t="s">
        <v>17</v>
      </c>
      <c r="Q6" s="4">
        <v>7.6111111111111107</v>
      </c>
      <c r="R6" s="5" t="s">
        <v>1099</v>
      </c>
      <c r="S6" s="8" t="b">
        <f t="shared" si="0"/>
        <v>1</v>
      </c>
    </row>
    <row r="7" spans="1:19" s="5" customFormat="1" ht="42" customHeight="1">
      <c r="A7" s="2">
        <v>5</v>
      </c>
      <c r="B7" s="12">
        <v>2544640686</v>
      </c>
      <c r="C7" s="21">
        <v>250371518005</v>
      </c>
      <c r="D7" s="17">
        <f t="shared" si="1"/>
        <v>250374</v>
      </c>
      <c r="E7" s="22" t="s">
        <v>1100</v>
      </c>
      <c r="F7" s="12" t="s">
        <v>19</v>
      </c>
      <c r="G7" s="14" t="s">
        <v>15</v>
      </c>
      <c r="H7" s="19" t="s">
        <v>34</v>
      </c>
      <c r="I7" s="20" t="s">
        <v>4</v>
      </c>
      <c r="J7" s="20" t="s">
        <v>4</v>
      </c>
      <c r="K7" s="20" t="s">
        <v>6</v>
      </c>
      <c r="L7" s="20" t="s">
        <v>3</v>
      </c>
      <c r="M7" s="20" t="s">
        <v>8</v>
      </c>
      <c r="N7" s="20" t="s">
        <v>1517</v>
      </c>
      <c r="O7" s="20" t="s">
        <v>2</v>
      </c>
      <c r="P7" s="11" t="s">
        <v>1517</v>
      </c>
      <c r="Q7" s="4">
        <v>0</v>
      </c>
      <c r="R7" s="5" t="s">
        <v>1100</v>
      </c>
      <c r="S7" s="8" t="b">
        <f t="shared" si="0"/>
        <v>1</v>
      </c>
    </row>
    <row r="8" spans="1:19" s="5" customFormat="1" ht="42" customHeight="1">
      <c r="A8" s="2">
        <v>6</v>
      </c>
      <c r="B8" s="12">
        <v>2544640894</v>
      </c>
      <c r="C8" s="21">
        <v>250371518006</v>
      </c>
      <c r="D8" s="17">
        <f t="shared" si="1"/>
        <v>250375</v>
      </c>
      <c r="E8" s="22" t="s">
        <v>1101</v>
      </c>
      <c r="F8" s="12" t="s">
        <v>19</v>
      </c>
      <c r="G8" s="14" t="s">
        <v>15</v>
      </c>
      <c r="H8" s="19" t="s">
        <v>34</v>
      </c>
      <c r="I8" s="20" t="s">
        <v>5</v>
      </c>
      <c r="J8" s="20" t="s">
        <v>4</v>
      </c>
      <c r="K8" s="20" t="s">
        <v>6</v>
      </c>
      <c r="L8" s="20" t="s">
        <v>3</v>
      </c>
      <c r="M8" s="20" t="s">
        <v>2</v>
      </c>
      <c r="N8" s="20" t="s">
        <v>5</v>
      </c>
      <c r="O8" s="20" t="s">
        <v>8</v>
      </c>
      <c r="P8" s="11" t="s">
        <v>17</v>
      </c>
      <c r="Q8" s="4">
        <v>6.666666666666667</v>
      </c>
      <c r="R8" s="5" t="s">
        <v>1101</v>
      </c>
      <c r="S8" s="8" t="b">
        <f t="shared" si="0"/>
        <v>1</v>
      </c>
    </row>
    <row r="9" spans="1:19" s="5" customFormat="1" ht="42" customHeight="1">
      <c r="A9" s="2">
        <v>7</v>
      </c>
      <c r="B9" s="12">
        <v>2544640551</v>
      </c>
      <c r="C9" s="21">
        <v>250371518011</v>
      </c>
      <c r="D9" s="17">
        <f t="shared" si="1"/>
        <v>250376</v>
      </c>
      <c r="E9" s="22" t="s">
        <v>1102</v>
      </c>
      <c r="F9" s="12" t="s">
        <v>19</v>
      </c>
      <c r="G9" s="14" t="s">
        <v>15</v>
      </c>
      <c r="H9" s="19" t="s">
        <v>34</v>
      </c>
      <c r="I9" s="20" t="s">
        <v>6</v>
      </c>
      <c r="J9" s="20" t="s">
        <v>4</v>
      </c>
      <c r="K9" s="20" t="s">
        <v>5</v>
      </c>
      <c r="L9" s="20" t="s">
        <v>3</v>
      </c>
      <c r="M9" s="20" t="s">
        <v>8</v>
      </c>
      <c r="N9" s="20" t="s">
        <v>5</v>
      </c>
      <c r="O9" s="20" t="s">
        <v>2</v>
      </c>
      <c r="P9" s="11" t="s">
        <v>17</v>
      </c>
      <c r="Q9" s="4">
        <v>6.72</v>
      </c>
      <c r="R9" s="5" t="s">
        <v>1102</v>
      </c>
      <c r="S9" s="8" t="b">
        <f t="shared" si="0"/>
        <v>1</v>
      </c>
    </row>
    <row r="10" spans="1:19" s="5" customFormat="1" ht="42" customHeight="1">
      <c r="A10" s="2">
        <v>8</v>
      </c>
      <c r="B10" s="12">
        <v>2544641080</v>
      </c>
      <c r="C10" s="21">
        <v>250371518012</v>
      </c>
      <c r="D10" s="17">
        <f t="shared" si="1"/>
        <v>250377</v>
      </c>
      <c r="E10" s="22" t="s">
        <v>1103</v>
      </c>
      <c r="F10" s="12" t="s">
        <v>19</v>
      </c>
      <c r="G10" s="14" t="s">
        <v>15</v>
      </c>
      <c r="H10" s="19" t="s">
        <v>34</v>
      </c>
      <c r="I10" s="20" t="s">
        <v>1516</v>
      </c>
      <c r="J10" s="20" t="s">
        <v>1516</v>
      </c>
      <c r="K10" s="20" t="s">
        <v>1516</v>
      </c>
      <c r="L10" s="20" t="s">
        <v>1516</v>
      </c>
      <c r="M10" s="20" t="s">
        <v>1516</v>
      </c>
      <c r="N10" s="20" t="s">
        <v>1516</v>
      </c>
      <c r="O10" s="20" t="s">
        <v>1516</v>
      </c>
      <c r="P10" s="11" t="s">
        <v>1516</v>
      </c>
      <c r="Q10" s="4">
        <v>0</v>
      </c>
      <c r="R10" s="5" t="s">
        <v>1103</v>
      </c>
      <c r="S10" s="8" t="b">
        <f t="shared" si="0"/>
        <v>1</v>
      </c>
    </row>
    <row r="11" spans="1:19" s="5" customFormat="1" ht="42" customHeight="1">
      <c r="A11" s="2">
        <v>9</v>
      </c>
      <c r="B11" s="12">
        <v>2544640498</v>
      </c>
      <c r="C11" s="21">
        <v>250371518014</v>
      </c>
      <c r="D11" s="17">
        <f t="shared" si="1"/>
        <v>250378</v>
      </c>
      <c r="E11" s="22" t="s">
        <v>1104</v>
      </c>
      <c r="F11" s="12" t="s">
        <v>19</v>
      </c>
      <c r="G11" s="14" t="s">
        <v>15</v>
      </c>
      <c r="H11" s="19" t="s">
        <v>34</v>
      </c>
      <c r="I11" s="20" t="s">
        <v>3</v>
      </c>
      <c r="J11" s="20" t="s">
        <v>2</v>
      </c>
      <c r="K11" s="20" t="s">
        <v>4</v>
      </c>
      <c r="L11" s="20" t="s">
        <v>2</v>
      </c>
      <c r="M11" s="20" t="s">
        <v>8</v>
      </c>
      <c r="N11" s="20" t="s">
        <v>5</v>
      </c>
      <c r="O11" s="20" t="s">
        <v>2</v>
      </c>
      <c r="P11" s="11" t="s">
        <v>17</v>
      </c>
      <c r="Q11" s="4">
        <v>7.9444444444444446</v>
      </c>
      <c r="R11" s="5" t="s">
        <v>1104</v>
      </c>
      <c r="S11" s="8" t="b">
        <f t="shared" si="0"/>
        <v>1</v>
      </c>
    </row>
    <row r="12" spans="1:19" s="5" customFormat="1" ht="42" customHeight="1">
      <c r="A12" s="2">
        <v>10</v>
      </c>
      <c r="B12" s="12">
        <v>2544640289</v>
      </c>
      <c r="C12" s="21">
        <v>250371518015</v>
      </c>
      <c r="D12" s="17">
        <f t="shared" si="1"/>
        <v>250379</v>
      </c>
      <c r="E12" s="22" t="s">
        <v>1105</v>
      </c>
      <c r="F12" s="12" t="s">
        <v>19</v>
      </c>
      <c r="G12" s="14" t="s">
        <v>15</v>
      </c>
      <c r="H12" s="19" t="s">
        <v>34</v>
      </c>
      <c r="I12" s="20" t="s">
        <v>3</v>
      </c>
      <c r="J12" s="20" t="s">
        <v>2</v>
      </c>
      <c r="K12" s="20" t="s">
        <v>4</v>
      </c>
      <c r="L12" s="20" t="s">
        <v>2</v>
      </c>
      <c r="M12" s="20" t="s">
        <v>2</v>
      </c>
      <c r="N12" s="20" t="s">
        <v>5</v>
      </c>
      <c r="O12" s="20" t="s">
        <v>2</v>
      </c>
      <c r="P12" s="11" t="s">
        <v>17</v>
      </c>
      <c r="Q12" s="4">
        <v>7.8888888888888893</v>
      </c>
      <c r="R12" s="5" t="s">
        <v>1105</v>
      </c>
      <c r="S12" s="8" t="b">
        <f t="shared" si="0"/>
        <v>1</v>
      </c>
    </row>
    <row r="13" spans="1:19" s="5" customFormat="1" ht="42" customHeight="1">
      <c r="A13" s="2">
        <v>11</v>
      </c>
      <c r="B13" s="12">
        <v>2544640364</v>
      </c>
      <c r="C13" s="21">
        <v>250371518017</v>
      </c>
      <c r="D13" s="17">
        <f t="shared" si="1"/>
        <v>250380</v>
      </c>
      <c r="E13" s="22" t="s">
        <v>1106</v>
      </c>
      <c r="F13" s="12" t="s">
        <v>19</v>
      </c>
      <c r="G13" s="14" t="s">
        <v>15</v>
      </c>
      <c r="H13" s="19" t="s">
        <v>34</v>
      </c>
      <c r="I13" s="20" t="s">
        <v>3</v>
      </c>
      <c r="J13" s="20" t="s">
        <v>3</v>
      </c>
      <c r="K13" s="20" t="s">
        <v>4</v>
      </c>
      <c r="L13" s="20" t="s">
        <v>4</v>
      </c>
      <c r="M13" s="20" t="s">
        <v>2</v>
      </c>
      <c r="N13" s="20" t="s">
        <v>4</v>
      </c>
      <c r="O13" s="20" t="s">
        <v>4</v>
      </c>
      <c r="P13" s="11" t="s">
        <v>17</v>
      </c>
      <c r="Q13" s="4">
        <v>7.4444444444444446</v>
      </c>
      <c r="R13" s="5" t="s">
        <v>1106</v>
      </c>
      <c r="S13" s="8" t="b">
        <f t="shared" si="0"/>
        <v>1</v>
      </c>
    </row>
    <row r="14" spans="1:19" s="5" customFormat="1" ht="42" customHeight="1">
      <c r="A14" s="2">
        <v>12</v>
      </c>
      <c r="B14" s="12">
        <v>2544640641</v>
      </c>
      <c r="C14" s="21">
        <v>250371518018</v>
      </c>
      <c r="D14" s="17">
        <f t="shared" si="1"/>
        <v>250381</v>
      </c>
      <c r="E14" s="22" t="s">
        <v>1107</v>
      </c>
      <c r="F14" s="12" t="s">
        <v>19</v>
      </c>
      <c r="G14" s="14" t="s">
        <v>15</v>
      </c>
      <c r="H14" s="19" t="s">
        <v>34</v>
      </c>
      <c r="I14" s="20" t="s">
        <v>3</v>
      </c>
      <c r="J14" s="20" t="s">
        <v>8</v>
      </c>
      <c r="K14" s="20" t="s">
        <v>2</v>
      </c>
      <c r="L14" s="20" t="s">
        <v>8</v>
      </c>
      <c r="M14" s="20" t="s">
        <v>8</v>
      </c>
      <c r="N14" s="20" t="s">
        <v>3</v>
      </c>
      <c r="O14" s="20" t="s">
        <v>8</v>
      </c>
      <c r="P14" s="11" t="s">
        <v>17</v>
      </c>
      <c r="Q14" s="4">
        <v>9.1111111111111107</v>
      </c>
      <c r="R14" s="5" t="s">
        <v>1107</v>
      </c>
      <c r="S14" s="8" t="b">
        <f t="shared" si="0"/>
        <v>1</v>
      </c>
    </row>
    <row r="15" spans="1:19" s="5" customFormat="1" ht="42" customHeight="1">
      <c r="A15" s="2">
        <v>13</v>
      </c>
      <c r="B15" s="12">
        <v>2544640567</v>
      </c>
      <c r="C15" s="21">
        <v>250371518019</v>
      </c>
      <c r="D15" s="17">
        <f t="shared" si="1"/>
        <v>250382</v>
      </c>
      <c r="E15" s="22" t="s">
        <v>1108</v>
      </c>
      <c r="F15" s="12" t="s">
        <v>19</v>
      </c>
      <c r="G15" s="14" t="s">
        <v>15</v>
      </c>
      <c r="H15" s="19" t="s">
        <v>34</v>
      </c>
      <c r="I15" s="20" t="s">
        <v>3</v>
      </c>
      <c r="J15" s="20" t="s">
        <v>3</v>
      </c>
      <c r="K15" s="20" t="s">
        <v>2</v>
      </c>
      <c r="L15" s="20" t="s">
        <v>8</v>
      </c>
      <c r="M15" s="20" t="s">
        <v>8</v>
      </c>
      <c r="N15" s="20" t="s">
        <v>3</v>
      </c>
      <c r="O15" s="20" t="s">
        <v>2</v>
      </c>
      <c r="P15" s="11" t="s">
        <v>17</v>
      </c>
      <c r="Q15" s="4">
        <v>8.7222222222222214</v>
      </c>
      <c r="R15" s="5" t="s">
        <v>1108</v>
      </c>
      <c r="S15" s="8" t="b">
        <f t="shared" si="0"/>
        <v>1</v>
      </c>
    </row>
    <row r="16" spans="1:19" s="5" customFormat="1" ht="42" customHeight="1">
      <c r="A16" s="2">
        <v>14</v>
      </c>
      <c r="B16" s="12">
        <v>2544640346</v>
      </c>
      <c r="C16" s="21">
        <v>250371518020</v>
      </c>
      <c r="D16" s="17">
        <f t="shared" si="1"/>
        <v>250383</v>
      </c>
      <c r="E16" s="22" t="s">
        <v>1109</v>
      </c>
      <c r="F16" s="12" t="s">
        <v>19</v>
      </c>
      <c r="G16" s="14" t="s">
        <v>15</v>
      </c>
      <c r="H16" s="19" t="s">
        <v>34</v>
      </c>
      <c r="I16" s="20" t="s">
        <v>3</v>
      </c>
      <c r="J16" s="20" t="s">
        <v>8</v>
      </c>
      <c r="K16" s="20" t="s">
        <v>3</v>
      </c>
      <c r="L16" s="20" t="s">
        <v>2</v>
      </c>
      <c r="M16" s="20" t="s">
        <v>8</v>
      </c>
      <c r="N16" s="20" t="s">
        <v>2</v>
      </c>
      <c r="O16" s="20" t="s">
        <v>8</v>
      </c>
      <c r="P16" s="11" t="s">
        <v>17</v>
      </c>
      <c r="Q16" s="4">
        <v>8.8888888888888893</v>
      </c>
      <c r="R16" s="5" t="s">
        <v>1109</v>
      </c>
      <c r="S16" s="8" t="b">
        <f t="shared" si="0"/>
        <v>1</v>
      </c>
    </row>
    <row r="17" spans="1:19" s="5" customFormat="1" ht="42" customHeight="1">
      <c r="A17" s="2">
        <v>15</v>
      </c>
      <c r="B17" s="12">
        <v>2544640168</v>
      </c>
      <c r="C17" s="21">
        <v>250371518022</v>
      </c>
      <c r="D17" s="17">
        <f t="shared" si="1"/>
        <v>250384</v>
      </c>
      <c r="E17" s="22" t="s">
        <v>1110</v>
      </c>
      <c r="F17" s="12" t="s">
        <v>19</v>
      </c>
      <c r="G17" s="14" t="s">
        <v>15</v>
      </c>
      <c r="H17" s="19" t="s">
        <v>34</v>
      </c>
      <c r="I17" s="20" t="s">
        <v>3</v>
      </c>
      <c r="J17" s="20" t="s">
        <v>8</v>
      </c>
      <c r="K17" s="20" t="s">
        <v>2</v>
      </c>
      <c r="L17" s="20" t="s">
        <v>8</v>
      </c>
      <c r="M17" s="20" t="s">
        <v>2</v>
      </c>
      <c r="N17" s="20" t="s">
        <v>3</v>
      </c>
      <c r="O17" s="20" t="s">
        <v>2</v>
      </c>
      <c r="P17" s="11" t="s">
        <v>17</v>
      </c>
      <c r="Q17" s="4">
        <v>9</v>
      </c>
      <c r="R17" s="5" t="s">
        <v>1110</v>
      </c>
      <c r="S17" s="8" t="b">
        <f t="shared" si="0"/>
        <v>1</v>
      </c>
    </row>
    <row r="18" spans="1:19" s="5" customFormat="1" ht="42" customHeight="1">
      <c r="A18" s="2">
        <v>16</v>
      </c>
      <c r="B18" s="12">
        <v>2544640431</v>
      </c>
      <c r="C18" s="21">
        <v>250371518023</v>
      </c>
      <c r="D18" s="17">
        <f t="shared" si="1"/>
        <v>250385</v>
      </c>
      <c r="E18" s="22" t="s">
        <v>1111</v>
      </c>
      <c r="F18" s="12" t="s">
        <v>19</v>
      </c>
      <c r="G18" s="14" t="s">
        <v>15</v>
      </c>
      <c r="H18" s="19" t="s">
        <v>34</v>
      </c>
      <c r="I18" s="20" t="s">
        <v>2</v>
      </c>
      <c r="J18" s="20" t="s">
        <v>8</v>
      </c>
      <c r="K18" s="20" t="s">
        <v>4</v>
      </c>
      <c r="L18" s="20" t="s">
        <v>2</v>
      </c>
      <c r="M18" s="20" t="s">
        <v>8</v>
      </c>
      <c r="N18" s="20" t="s">
        <v>8</v>
      </c>
      <c r="O18" s="20" t="s">
        <v>8</v>
      </c>
      <c r="P18" s="11" t="s">
        <v>17</v>
      </c>
      <c r="Q18" s="4">
        <v>9</v>
      </c>
      <c r="R18" s="5" t="s">
        <v>1111</v>
      </c>
      <c r="S18" s="8" t="b">
        <f t="shared" si="0"/>
        <v>1</v>
      </c>
    </row>
    <row r="19" spans="1:19" s="5" customFormat="1" ht="42" customHeight="1">
      <c r="A19" s="2">
        <v>17</v>
      </c>
      <c r="B19" s="12">
        <v>2544640599</v>
      </c>
      <c r="C19" s="21">
        <v>250371518024</v>
      </c>
      <c r="D19" s="17">
        <f t="shared" si="1"/>
        <v>250386</v>
      </c>
      <c r="E19" s="22" t="s">
        <v>1112</v>
      </c>
      <c r="F19" s="12" t="s">
        <v>19</v>
      </c>
      <c r="G19" s="14" t="s">
        <v>15</v>
      </c>
      <c r="H19" s="19" t="s">
        <v>34</v>
      </c>
      <c r="I19" s="20" t="s">
        <v>3</v>
      </c>
      <c r="J19" s="20" t="s">
        <v>8</v>
      </c>
      <c r="K19" s="20" t="s">
        <v>5</v>
      </c>
      <c r="L19" s="20" t="s">
        <v>4</v>
      </c>
      <c r="M19" s="20" t="s">
        <v>2</v>
      </c>
      <c r="N19" s="20" t="s">
        <v>5</v>
      </c>
      <c r="O19" s="20" t="s">
        <v>8</v>
      </c>
      <c r="P19" s="11" t="s">
        <v>17</v>
      </c>
      <c r="Q19" s="4">
        <v>7.5555555555555554</v>
      </c>
      <c r="R19" s="5" t="s">
        <v>1112</v>
      </c>
      <c r="S19" s="8" t="b">
        <f t="shared" si="0"/>
        <v>1</v>
      </c>
    </row>
    <row r="20" spans="1:19" s="5" customFormat="1" ht="42" customHeight="1">
      <c r="A20" s="2">
        <v>18</v>
      </c>
      <c r="B20" s="12">
        <v>2544640952</v>
      </c>
      <c r="C20" s="21">
        <v>250371518025</v>
      </c>
      <c r="D20" s="17">
        <f t="shared" si="1"/>
        <v>250387</v>
      </c>
      <c r="E20" s="22" t="s">
        <v>1113</v>
      </c>
      <c r="F20" s="12" t="s">
        <v>19</v>
      </c>
      <c r="G20" s="14" t="s">
        <v>15</v>
      </c>
      <c r="H20" s="19" t="s">
        <v>34</v>
      </c>
      <c r="I20" s="20" t="s">
        <v>4</v>
      </c>
      <c r="J20" s="20" t="s">
        <v>2</v>
      </c>
      <c r="K20" s="20" t="s">
        <v>5</v>
      </c>
      <c r="L20" s="20" t="s">
        <v>2</v>
      </c>
      <c r="M20" s="20" t="s">
        <v>8</v>
      </c>
      <c r="N20" s="20" t="s">
        <v>4</v>
      </c>
      <c r="O20" s="20" t="s">
        <v>3</v>
      </c>
      <c r="P20" s="11" t="s">
        <v>17</v>
      </c>
      <c r="Q20" s="4">
        <v>7.666666666666667</v>
      </c>
      <c r="R20" s="5" t="s">
        <v>1113</v>
      </c>
      <c r="S20" s="8" t="b">
        <f t="shared" si="0"/>
        <v>1</v>
      </c>
    </row>
    <row r="21" spans="1:19" s="5" customFormat="1" ht="42" customHeight="1">
      <c r="A21" s="2">
        <v>19</v>
      </c>
      <c r="B21" s="12">
        <v>2544640166</v>
      </c>
      <c r="C21" s="21">
        <v>250371518028</v>
      </c>
      <c r="D21" s="17">
        <f t="shared" si="1"/>
        <v>250388</v>
      </c>
      <c r="E21" s="22" t="s">
        <v>1114</v>
      </c>
      <c r="F21" s="12" t="s">
        <v>19</v>
      </c>
      <c r="G21" s="14" t="s">
        <v>15</v>
      </c>
      <c r="H21" s="19" t="s">
        <v>34</v>
      </c>
      <c r="I21" s="20" t="s">
        <v>3</v>
      </c>
      <c r="J21" s="20" t="s">
        <v>3</v>
      </c>
      <c r="K21" s="20" t="s">
        <v>4</v>
      </c>
      <c r="L21" s="20" t="s">
        <v>4</v>
      </c>
      <c r="M21" s="20" t="s">
        <v>2</v>
      </c>
      <c r="N21" s="20" t="s">
        <v>4</v>
      </c>
      <c r="O21" s="20" t="s">
        <v>8</v>
      </c>
      <c r="P21" s="11" t="s">
        <v>17</v>
      </c>
      <c r="Q21" s="4">
        <v>7.6111111111111107</v>
      </c>
      <c r="R21" s="5" t="s">
        <v>1114</v>
      </c>
      <c r="S21" s="8" t="b">
        <f t="shared" si="0"/>
        <v>1</v>
      </c>
    </row>
    <row r="22" spans="1:19" s="5" customFormat="1" ht="42" customHeight="1">
      <c r="A22" s="2">
        <v>20</v>
      </c>
      <c r="B22" s="12">
        <v>2544640386</v>
      </c>
      <c r="C22" s="21">
        <v>250371518035</v>
      </c>
      <c r="D22" s="17">
        <f t="shared" si="1"/>
        <v>250389</v>
      </c>
      <c r="E22" s="22" t="s">
        <v>1115</v>
      </c>
      <c r="F22" s="12" t="s">
        <v>19</v>
      </c>
      <c r="G22" s="14" t="s">
        <v>15</v>
      </c>
      <c r="H22" s="19" t="s">
        <v>34</v>
      </c>
      <c r="I22" s="20" t="s">
        <v>3</v>
      </c>
      <c r="J22" s="20" t="s">
        <v>8</v>
      </c>
      <c r="K22" s="20" t="s">
        <v>4</v>
      </c>
      <c r="L22" s="20" t="s">
        <v>2</v>
      </c>
      <c r="M22" s="20" t="s">
        <v>2</v>
      </c>
      <c r="N22" s="20" t="s">
        <v>3</v>
      </c>
      <c r="O22" s="20" t="s">
        <v>2</v>
      </c>
      <c r="P22" s="11" t="s">
        <v>17</v>
      </c>
      <c r="Q22" s="4">
        <v>8.3888888888888893</v>
      </c>
      <c r="R22" s="5" t="s">
        <v>1115</v>
      </c>
      <c r="S22" s="8" t="b">
        <f t="shared" si="0"/>
        <v>1</v>
      </c>
    </row>
    <row r="23" spans="1:19" s="5" customFormat="1" ht="42" customHeight="1">
      <c r="A23" s="2">
        <v>21</v>
      </c>
      <c r="B23" s="12">
        <v>2544640494</v>
      </c>
      <c r="C23" s="21">
        <v>250371518036</v>
      </c>
      <c r="D23" s="17">
        <f t="shared" si="1"/>
        <v>250390</v>
      </c>
      <c r="E23" s="22" t="s">
        <v>1116</v>
      </c>
      <c r="F23" s="12" t="s">
        <v>19</v>
      </c>
      <c r="G23" s="14" t="s">
        <v>15</v>
      </c>
      <c r="H23" s="19" t="s">
        <v>34</v>
      </c>
      <c r="I23" s="20" t="s">
        <v>4</v>
      </c>
      <c r="J23" s="20" t="s">
        <v>2</v>
      </c>
      <c r="K23" s="20" t="s">
        <v>4</v>
      </c>
      <c r="L23" s="20" t="s">
        <v>3</v>
      </c>
      <c r="M23" s="20" t="s">
        <v>2</v>
      </c>
      <c r="N23" s="20" t="s">
        <v>3</v>
      </c>
      <c r="O23" s="20" t="s">
        <v>8</v>
      </c>
      <c r="P23" s="11" t="s">
        <v>17</v>
      </c>
      <c r="Q23" s="4">
        <v>7.9444444444444446</v>
      </c>
      <c r="R23" s="5" t="s">
        <v>1116</v>
      </c>
      <c r="S23" s="8" t="b">
        <f t="shared" si="0"/>
        <v>1</v>
      </c>
    </row>
    <row r="24" spans="1:19" s="5" customFormat="1" ht="42" customHeight="1">
      <c r="A24" s="2">
        <v>22</v>
      </c>
      <c r="B24" s="12">
        <v>2544640972</v>
      </c>
      <c r="C24" s="21">
        <v>250371518037</v>
      </c>
      <c r="D24" s="17">
        <f t="shared" si="1"/>
        <v>250391</v>
      </c>
      <c r="E24" s="22" t="s">
        <v>1117</v>
      </c>
      <c r="F24" s="12" t="s">
        <v>19</v>
      </c>
      <c r="G24" s="14" t="s">
        <v>15</v>
      </c>
      <c r="H24" s="19" t="s">
        <v>34</v>
      </c>
      <c r="I24" s="20" t="s">
        <v>2</v>
      </c>
      <c r="J24" s="20" t="s">
        <v>8</v>
      </c>
      <c r="K24" s="20" t="s">
        <v>8</v>
      </c>
      <c r="L24" s="20" t="s">
        <v>8</v>
      </c>
      <c r="M24" s="20" t="s">
        <v>8</v>
      </c>
      <c r="N24" s="20" t="s">
        <v>8</v>
      </c>
      <c r="O24" s="20" t="s">
        <v>8</v>
      </c>
      <c r="P24" s="11" t="s">
        <v>17</v>
      </c>
      <c r="Q24" s="4">
        <v>9.8333333333333339</v>
      </c>
      <c r="R24" s="5" t="s">
        <v>1117</v>
      </c>
      <c r="S24" s="8" t="b">
        <f t="shared" si="0"/>
        <v>1</v>
      </c>
    </row>
    <row r="25" spans="1:19" s="5" customFormat="1" ht="42" customHeight="1">
      <c r="A25" s="2">
        <v>23</v>
      </c>
      <c r="B25" s="12">
        <v>2544640158</v>
      </c>
      <c r="C25" s="21">
        <v>250371518040</v>
      </c>
      <c r="D25" s="17">
        <f t="shared" si="1"/>
        <v>250392</v>
      </c>
      <c r="E25" s="22" t="s">
        <v>1118</v>
      </c>
      <c r="F25" s="12" t="s">
        <v>19</v>
      </c>
      <c r="G25" s="14" t="s">
        <v>15</v>
      </c>
      <c r="H25" s="19" t="s">
        <v>34</v>
      </c>
      <c r="I25" s="20" t="s">
        <v>4</v>
      </c>
      <c r="J25" s="20" t="s">
        <v>8</v>
      </c>
      <c r="K25" s="20" t="s">
        <v>3</v>
      </c>
      <c r="L25" s="20" t="s">
        <v>2</v>
      </c>
      <c r="M25" s="20" t="s">
        <v>8</v>
      </c>
      <c r="N25" s="20" t="s">
        <v>3</v>
      </c>
      <c r="O25" s="20" t="s">
        <v>2</v>
      </c>
      <c r="P25" s="11" t="s">
        <v>17</v>
      </c>
      <c r="Q25" s="4">
        <v>8.5</v>
      </c>
      <c r="R25" s="5" t="s">
        <v>1118</v>
      </c>
      <c r="S25" s="8" t="b">
        <f t="shared" si="0"/>
        <v>1</v>
      </c>
    </row>
    <row r="26" spans="1:19" s="5" customFormat="1" ht="42" customHeight="1">
      <c r="A26" s="2">
        <v>24</v>
      </c>
      <c r="B26" s="12">
        <v>2544640626</v>
      </c>
      <c r="C26" s="21">
        <v>250371518043</v>
      </c>
      <c r="D26" s="17">
        <f t="shared" si="1"/>
        <v>250393</v>
      </c>
      <c r="E26" s="22" t="s">
        <v>1119</v>
      </c>
      <c r="F26" s="12" t="s">
        <v>19</v>
      </c>
      <c r="G26" s="14" t="s">
        <v>15</v>
      </c>
      <c r="H26" s="19" t="s">
        <v>34</v>
      </c>
      <c r="I26" s="20" t="s">
        <v>3</v>
      </c>
      <c r="J26" s="20" t="s">
        <v>8</v>
      </c>
      <c r="K26" s="20" t="s">
        <v>2</v>
      </c>
      <c r="L26" s="20" t="s">
        <v>8</v>
      </c>
      <c r="M26" s="20" t="s">
        <v>8</v>
      </c>
      <c r="N26" s="20" t="s">
        <v>2</v>
      </c>
      <c r="O26" s="20" t="s">
        <v>2</v>
      </c>
      <c r="P26" s="11" t="s">
        <v>17</v>
      </c>
      <c r="Q26" s="4">
        <v>9.2222222222222214</v>
      </c>
      <c r="R26" s="5" t="s">
        <v>1119</v>
      </c>
      <c r="S26" s="8" t="b">
        <f t="shared" si="0"/>
        <v>1</v>
      </c>
    </row>
    <row r="27" spans="1:19" s="5" customFormat="1" ht="42" customHeight="1">
      <c r="A27" s="2">
        <v>25</v>
      </c>
      <c r="B27" s="12">
        <v>2544640429</v>
      </c>
      <c r="C27" s="21">
        <v>250371518044</v>
      </c>
      <c r="D27" s="17">
        <f t="shared" si="1"/>
        <v>250394</v>
      </c>
      <c r="E27" s="22" t="s">
        <v>1120</v>
      </c>
      <c r="F27" s="12" t="s">
        <v>19</v>
      </c>
      <c r="G27" s="14" t="s">
        <v>15</v>
      </c>
      <c r="H27" s="19" t="s">
        <v>34</v>
      </c>
      <c r="I27" s="20" t="s">
        <v>3</v>
      </c>
      <c r="J27" s="20" t="s">
        <v>8</v>
      </c>
      <c r="K27" s="20" t="s">
        <v>2</v>
      </c>
      <c r="L27" s="20" t="s">
        <v>8</v>
      </c>
      <c r="M27" s="20" t="s">
        <v>8</v>
      </c>
      <c r="N27" s="20" t="s">
        <v>2</v>
      </c>
      <c r="O27" s="20" t="s">
        <v>8</v>
      </c>
      <c r="P27" s="11" t="s">
        <v>17</v>
      </c>
      <c r="Q27" s="4">
        <v>9.2777777777777786</v>
      </c>
      <c r="R27" s="5" t="s">
        <v>1120</v>
      </c>
      <c r="S27" s="8" t="b">
        <f t="shared" si="0"/>
        <v>1</v>
      </c>
    </row>
    <row r="28" spans="1:19" s="5" customFormat="1" ht="42" customHeight="1">
      <c r="A28" s="2">
        <v>26</v>
      </c>
      <c r="B28" s="12">
        <v>2544640858</v>
      </c>
      <c r="C28" s="21">
        <v>250371518045</v>
      </c>
      <c r="D28" s="17">
        <f t="shared" si="1"/>
        <v>250395</v>
      </c>
      <c r="E28" s="22" t="s">
        <v>1121</v>
      </c>
      <c r="F28" s="12" t="s">
        <v>19</v>
      </c>
      <c r="G28" s="14" t="s">
        <v>15</v>
      </c>
      <c r="H28" s="19" t="s">
        <v>34</v>
      </c>
      <c r="I28" s="20" t="s">
        <v>3</v>
      </c>
      <c r="J28" s="20" t="s">
        <v>3</v>
      </c>
      <c r="K28" s="20" t="s">
        <v>5</v>
      </c>
      <c r="L28" s="20" t="s">
        <v>3</v>
      </c>
      <c r="M28" s="20" t="s">
        <v>8</v>
      </c>
      <c r="N28" s="20" t="s">
        <v>4</v>
      </c>
      <c r="O28" s="20" t="s">
        <v>8</v>
      </c>
      <c r="P28" s="11" t="s">
        <v>17</v>
      </c>
      <c r="Q28" s="4">
        <v>7.6111111111111107</v>
      </c>
      <c r="R28" s="5" t="s">
        <v>1121</v>
      </c>
      <c r="S28" s="8" t="b">
        <f t="shared" si="0"/>
        <v>1</v>
      </c>
    </row>
    <row r="29" spans="1:19" s="5" customFormat="1" ht="42" customHeight="1">
      <c r="A29" s="2">
        <v>27</v>
      </c>
      <c r="B29" s="12">
        <v>2544640460</v>
      </c>
      <c r="C29" s="21">
        <v>250371518046</v>
      </c>
      <c r="D29" s="17">
        <f t="shared" si="1"/>
        <v>250396</v>
      </c>
      <c r="E29" s="22" t="s">
        <v>1122</v>
      </c>
      <c r="F29" s="12" t="s">
        <v>19</v>
      </c>
      <c r="G29" s="14" t="s">
        <v>15</v>
      </c>
      <c r="H29" s="19" t="s">
        <v>34</v>
      </c>
      <c r="I29" s="20" t="s">
        <v>4</v>
      </c>
      <c r="J29" s="20" t="s">
        <v>5</v>
      </c>
      <c r="K29" s="20" t="s">
        <v>5</v>
      </c>
      <c r="L29" s="20" t="s">
        <v>1517</v>
      </c>
      <c r="M29" s="20" t="s">
        <v>2</v>
      </c>
      <c r="N29" s="20" t="s">
        <v>4</v>
      </c>
      <c r="O29" s="20" t="s">
        <v>8</v>
      </c>
      <c r="P29" s="11" t="s">
        <v>1517</v>
      </c>
      <c r="Q29" s="4">
        <v>0</v>
      </c>
      <c r="R29" s="5" t="s">
        <v>1122</v>
      </c>
      <c r="S29" s="8" t="b">
        <f t="shared" si="0"/>
        <v>1</v>
      </c>
    </row>
    <row r="30" spans="1:19" s="5" customFormat="1" ht="42" customHeight="1">
      <c r="A30" s="2">
        <v>28</v>
      </c>
      <c r="B30" s="12">
        <v>2544640388</v>
      </c>
      <c r="C30" s="21">
        <v>250371518047</v>
      </c>
      <c r="D30" s="17">
        <f t="shared" si="1"/>
        <v>250397</v>
      </c>
      <c r="E30" s="22" t="s">
        <v>1123</v>
      </c>
      <c r="F30" s="12" t="s">
        <v>19</v>
      </c>
      <c r="G30" s="14" t="s">
        <v>15</v>
      </c>
      <c r="H30" s="19" t="s">
        <v>34</v>
      </c>
      <c r="I30" s="20" t="s">
        <v>4</v>
      </c>
      <c r="J30" s="20" t="s">
        <v>3</v>
      </c>
      <c r="K30" s="20" t="s">
        <v>6</v>
      </c>
      <c r="L30" s="20" t="s">
        <v>4</v>
      </c>
      <c r="M30" s="20" t="s">
        <v>3</v>
      </c>
      <c r="N30" s="20" t="s">
        <v>4</v>
      </c>
      <c r="O30" s="20" t="s">
        <v>2</v>
      </c>
      <c r="P30" s="11" t="s">
        <v>17</v>
      </c>
      <c r="Q30" s="4">
        <v>6.8888888888888893</v>
      </c>
      <c r="R30" s="5" t="s">
        <v>1123</v>
      </c>
      <c r="S30" s="8" t="b">
        <f t="shared" si="0"/>
        <v>1</v>
      </c>
    </row>
    <row r="31" spans="1:19" s="5" customFormat="1" ht="42" customHeight="1">
      <c r="A31" s="2">
        <v>29</v>
      </c>
      <c r="B31" s="12">
        <v>2544640518</v>
      </c>
      <c r="C31" s="21">
        <v>250371518048</v>
      </c>
      <c r="D31" s="17">
        <f t="shared" si="1"/>
        <v>250398</v>
      </c>
      <c r="E31" s="22" t="s">
        <v>1124</v>
      </c>
      <c r="F31" s="12" t="s">
        <v>19</v>
      </c>
      <c r="G31" s="14" t="s">
        <v>15</v>
      </c>
      <c r="H31" s="19" t="s">
        <v>34</v>
      </c>
      <c r="I31" s="20" t="s">
        <v>3</v>
      </c>
      <c r="J31" s="20" t="s">
        <v>2</v>
      </c>
      <c r="K31" s="20" t="s">
        <v>4</v>
      </c>
      <c r="L31" s="20" t="s">
        <v>8</v>
      </c>
      <c r="M31" s="20" t="s">
        <v>8</v>
      </c>
      <c r="N31" s="20" t="s">
        <v>4</v>
      </c>
      <c r="O31" s="20" t="s">
        <v>8</v>
      </c>
      <c r="P31" s="11" t="s">
        <v>17</v>
      </c>
      <c r="Q31" s="4">
        <v>8.3333333333333339</v>
      </c>
      <c r="R31" s="5" t="s">
        <v>1124</v>
      </c>
      <c r="S31" s="8" t="b">
        <f t="shared" si="0"/>
        <v>1</v>
      </c>
    </row>
    <row r="32" spans="1:19" s="5" customFormat="1" ht="42" customHeight="1">
      <c r="A32" s="2">
        <v>30</v>
      </c>
      <c r="B32" s="12">
        <v>2544640558</v>
      </c>
      <c r="C32" s="21">
        <v>250371518051</v>
      </c>
      <c r="D32" s="17">
        <f t="shared" si="1"/>
        <v>250399</v>
      </c>
      <c r="E32" s="22" t="s">
        <v>1125</v>
      </c>
      <c r="F32" s="12" t="s">
        <v>19</v>
      </c>
      <c r="G32" s="14" t="s">
        <v>15</v>
      </c>
      <c r="H32" s="19" t="s">
        <v>34</v>
      </c>
      <c r="I32" s="20" t="s">
        <v>2</v>
      </c>
      <c r="J32" s="20" t="s">
        <v>8</v>
      </c>
      <c r="K32" s="20" t="s">
        <v>4</v>
      </c>
      <c r="L32" s="20" t="s">
        <v>8</v>
      </c>
      <c r="M32" s="20" t="s">
        <v>2</v>
      </c>
      <c r="N32" s="20" t="s">
        <v>2</v>
      </c>
      <c r="O32" s="20" t="s">
        <v>8</v>
      </c>
      <c r="P32" s="11" t="s">
        <v>17</v>
      </c>
      <c r="Q32" s="4">
        <v>8.9444444444444446</v>
      </c>
      <c r="R32" s="5" t="s">
        <v>1125</v>
      </c>
      <c r="S32" s="8" t="b">
        <f t="shared" si="0"/>
        <v>1</v>
      </c>
    </row>
    <row r="33" spans="1:19" s="5" customFormat="1" ht="42" customHeight="1">
      <c r="A33" s="2">
        <v>31</v>
      </c>
      <c r="B33" s="12">
        <v>2544640362</v>
      </c>
      <c r="C33" s="21">
        <v>250371518052</v>
      </c>
      <c r="D33" s="17">
        <f t="shared" si="1"/>
        <v>250400</v>
      </c>
      <c r="E33" s="22" t="s">
        <v>1126</v>
      </c>
      <c r="F33" s="12" t="s">
        <v>19</v>
      </c>
      <c r="G33" s="14" t="s">
        <v>15</v>
      </c>
      <c r="H33" s="19" t="s">
        <v>34</v>
      </c>
      <c r="I33" s="20" t="s">
        <v>2</v>
      </c>
      <c r="J33" s="20" t="s">
        <v>8</v>
      </c>
      <c r="K33" s="20" t="s">
        <v>3</v>
      </c>
      <c r="L33" s="20" t="s">
        <v>8</v>
      </c>
      <c r="M33" s="20" t="s">
        <v>8</v>
      </c>
      <c r="N33" s="20" t="s">
        <v>8</v>
      </c>
      <c r="O33" s="20" t="s">
        <v>8</v>
      </c>
      <c r="P33" s="11" t="s">
        <v>17</v>
      </c>
      <c r="Q33" s="4">
        <v>9.3888888888888893</v>
      </c>
      <c r="R33" s="5" t="s">
        <v>1126</v>
      </c>
      <c r="S33" s="8" t="b">
        <f t="shared" si="0"/>
        <v>1</v>
      </c>
    </row>
    <row r="34" spans="1:19" s="5" customFormat="1" ht="42" customHeight="1">
      <c r="A34" s="2">
        <v>32</v>
      </c>
      <c r="B34" s="12">
        <v>2544640354</v>
      </c>
      <c r="C34" s="21">
        <v>250371518053</v>
      </c>
      <c r="D34" s="17">
        <f t="shared" si="1"/>
        <v>250401</v>
      </c>
      <c r="E34" s="22" t="s">
        <v>1127</v>
      </c>
      <c r="F34" s="12" t="s">
        <v>19</v>
      </c>
      <c r="G34" s="14" t="s">
        <v>15</v>
      </c>
      <c r="H34" s="19" t="s">
        <v>34</v>
      </c>
      <c r="I34" s="20" t="s">
        <v>4</v>
      </c>
      <c r="J34" s="20" t="s">
        <v>4</v>
      </c>
      <c r="K34" s="20" t="s">
        <v>5</v>
      </c>
      <c r="L34" s="20" t="s">
        <v>4</v>
      </c>
      <c r="M34" s="20" t="s">
        <v>8</v>
      </c>
      <c r="N34" s="20" t="s">
        <v>4</v>
      </c>
      <c r="O34" s="20" t="s">
        <v>8</v>
      </c>
      <c r="P34" s="11" t="s">
        <v>17</v>
      </c>
      <c r="Q34" s="4">
        <v>7.1111111111111107</v>
      </c>
      <c r="R34" s="5" t="s">
        <v>1127</v>
      </c>
      <c r="S34" s="8" t="b">
        <f t="shared" si="0"/>
        <v>1</v>
      </c>
    </row>
    <row r="35" spans="1:19" s="5" customFormat="1" ht="42" customHeight="1">
      <c r="A35" s="2">
        <v>33</v>
      </c>
      <c r="B35" s="12">
        <v>2544640065</v>
      </c>
      <c r="C35" s="21">
        <v>250371518054</v>
      </c>
      <c r="D35" s="17">
        <f t="shared" si="1"/>
        <v>250402</v>
      </c>
      <c r="E35" s="22" t="s">
        <v>1128</v>
      </c>
      <c r="F35" s="12" t="s">
        <v>19</v>
      </c>
      <c r="G35" s="14" t="s">
        <v>15</v>
      </c>
      <c r="H35" s="19" t="s">
        <v>34</v>
      </c>
      <c r="I35" s="20" t="s">
        <v>4</v>
      </c>
      <c r="J35" s="20" t="s">
        <v>2</v>
      </c>
      <c r="K35" s="20" t="s">
        <v>4</v>
      </c>
      <c r="L35" s="20" t="s">
        <v>2</v>
      </c>
      <c r="M35" s="20" t="s">
        <v>2</v>
      </c>
      <c r="N35" s="20" t="s">
        <v>2</v>
      </c>
      <c r="O35" s="20" t="s">
        <v>4</v>
      </c>
      <c r="P35" s="11" t="s">
        <v>17</v>
      </c>
      <c r="Q35" s="4">
        <v>8.1111111111111107</v>
      </c>
      <c r="R35" s="5" t="s">
        <v>1128</v>
      </c>
      <c r="S35" s="8" t="b">
        <f t="shared" si="0"/>
        <v>1</v>
      </c>
    </row>
    <row r="36" spans="1:19" s="5" customFormat="1" ht="42" customHeight="1">
      <c r="A36" s="2">
        <v>34</v>
      </c>
      <c r="B36" s="12">
        <v>2544640054</v>
      </c>
      <c r="C36" s="21">
        <v>250371518056</v>
      </c>
      <c r="D36" s="17">
        <f t="shared" si="1"/>
        <v>250403</v>
      </c>
      <c r="E36" s="22" t="s">
        <v>1129</v>
      </c>
      <c r="F36" s="12" t="s">
        <v>19</v>
      </c>
      <c r="G36" s="14" t="s">
        <v>15</v>
      </c>
      <c r="H36" s="19" t="s">
        <v>34</v>
      </c>
      <c r="I36" s="20" t="s">
        <v>3</v>
      </c>
      <c r="J36" s="20" t="s">
        <v>2</v>
      </c>
      <c r="K36" s="20" t="s">
        <v>3</v>
      </c>
      <c r="L36" s="20" t="s">
        <v>2</v>
      </c>
      <c r="M36" s="20" t="s">
        <v>8</v>
      </c>
      <c r="N36" s="20" t="s">
        <v>2</v>
      </c>
      <c r="O36" s="20" t="s">
        <v>8</v>
      </c>
      <c r="P36" s="11" t="s">
        <v>17</v>
      </c>
      <c r="Q36" s="4">
        <v>8.7222222222222214</v>
      </c>
      <c r="R36" s="5" t="s">
        <v>1129</v>
      </c>
      <c r="S36" s="8" t="b">
        <f t="shared" si="0"/>
        <v>1</v>
      </c>
    </row>
    <row r="37" spans="1:19" s="5" customFormat="1" ht="42" customHeight="1">
      <c r="A37" s="2">
        <v>35</v>
      </c>
      <c r="B37" s="12">
        <v>2544640939</v>
      </c>
      <c r="C37" s="21">
        <v>250371518057</v>
      </c>
      <c r="D37" s="17">
        <f t="shared" si="1"/>
        <v>250404</v>
      </c>
      <c r="E37" s="22" t="s">
        <v>1130</v>
      </c>
      <c r="F37" s="12" t="s">
        <v>19</v>
      </c>
      <c r="G37" s="14" t="s">
        <v>15</v>
      </c>
      <c r="H37" s="19" t="s">
        <v>34</v>
      </c>
      <c r="I37" s="20" t="s">
        <v>6</v>
      </c>
      <c r="J37" s="20" t="s">
        <v>3</v>
      </c>
      <c r="K37" s="20" t="s">
        <v>5</v>
      </c>
      <c r="L37" s="20" t="s">
        <v>2</v>
      </c>
      <c r="M37" s="20" t="s">
        <v>2</v>
      </c>
      <c r="N37" s="20" t="s">
        <v>7</v>
      </c>
      <c r="O37" s="20" t="s">
        <v>4</v>
      </c>
      <c r="P37" s="11" t="s">
        <v>7</v>
      </c>
      <c r="Q37" s="4">
        <v>0</v>
      </c>
      <c r="R37" s="5" t="s">
        <v>1130</v>
      </c>
      <c r="S37" s="8" t="b">
        <f t="shared" si="0"/>
        <v>1</v>
      </c>
    </row>
    <row r="38" spans="1:19" s="5" customFormat="1" ht="42" customHeight="1">
      <c r="A38" s="2">
        <v>36</v>
      </c>
      <c r="B38" s="12">
        <v>2544640835</v>
      </c>
      <c r="C38" s="21">
        <v>250371518058</v>
      </c>
      <c r="D38" s="17">
        <f t="shared" si="1"/>
        <v>250405</v>
      </c>
      <c r="E38" s="22" t="s">
        <v>1131</v>
      </c>
      <c r="F38" s="12" t="s">
        <v>19</v>
      </c>
      <c r="G38" s="14" t="s">
        <v>15</v>
      </c>
      <c r="H38" s="19" t="s">
        <v>34</v>
      </c>
      <c r="I38" s="20" t="s">
        <v>3</v>
      </c>
      <c r="J38" s="20" t="s">
        <v>8</v>
      </c>
      <c r="K38" s="20" t="s">
        <v>3</v>
      </c>
      <c r="L38" s="20" t="s">
        <v>8</v>
      </c>
      <c r="M38" s="20" t="s">
        <v>8</v>
      </c>
      <c r="N38" s="20" t="s">
        <v>8</v>
      </c>
      <c r="O38" s="20" t="s">
        <v>8</v>
      </c>
      <c r="P38" s="11" t="s">
        <v>17</v>
      </c>
      <c r="Q38" s="4">
        <v>9.2222222222222214</v>
      </c>
      <c r="R38" s="5" t="s">
        <v>1131</v>
      </c>
      <c r="S38" s="8" t="b">
        <f t="shared" si="0"/>
        <v>1</v>
      </c>
    </row>
    <row r="39" spans="1:19" s="5" customFormat="1" ht="42" customHeight="1">
      <c r="A39" s="2">
        <v>37</v>
      </c>
      <c r="B39" s="12">
        <v>2544640136</v>
      </c>
      <c r="C39" s="21">
        <v>250371518060</v>
      </c>
      <c r="D39" s="17">
        <f t="shared" si="1"/>
        <v>250406</v>
      </c>
      <c r="E39" s="22" t="s">
        <v>1132</v>
      </c>
      <c r="F39" s="12" t="s">
        <v>19</v>
      </c>
      <c r="G39" s="14" t="s">
        <v>15</v>
      </c>
      <c r="H39" s="19" t="s">
        <v>34</v>
      </c>
      <c r="I39" s="20" t="s">
        <v>6</v>
      </c>
      <c r="J39" s="20" t="s">
        <v>2</v>
      </c>
      <c r="K39" s="20" t="s">
        <v>5</v>
      </c>
      <c r="L39" s="20" t="s">
        <v>3</v>
      </c>
      <c r="M39" s="20" t="s">
        <v>2</v>
      </c>
      <c r="N39" s="20" t="s">
        <v>3</v>
      </c>
      <c r="O39" s="20" t="s">
        <v>3</v>
      </c>
      <c r="P39" s="11" t="s">
        <v>17</v>
      </c>
      <c r="Q39" s="4">
        <v>7.2777777777777777</v>
      </c>
      <c r="R39" s="5" t="s">
        <v>1132</v>
      </c>
      <c r="S39" s="8" t="b">
        <f t="shared" si="0"/>
        <v>1</v>
      </c>
    </row>
    <row r="40" spans="1:19" s="5" customFormat="1" ht="42" customHeight="1">
      <c r="A40" s="2">
        <v>38</v>
      </c>
      <c r="B40" s="12">
        <v>2544640037</v>
      </c>
      <c r="C40" s="21">
        <v>250371518063</v>
      </c>
      <c r="D40" s="17">
        <f t="shared" si="1"/>
        <v>250407</v>
      </c>
      <c r="E40" s="22" t="s">
        <v>1133</v>
      </c>
      <c r="F40" s="12" t="s">
        <v>19</v>
      </c>
      <c r="G40" s="14" t="s">
        <v>15</v>
      </c>
      <c r="H40" s="19" t="s">
        <v>34</v>
      </c>
      <c r="I40" s="20" t="s">
        <v>7</v>
      </c>
      <c r="J40" s="20" t="s">
        <v>8</v>
      </c>
      <c r="K40" s="20" t="s">
        <v>5</v>
      </c>
      <c r="L40" s="20" t="s">
        <v>4</v>
      </c>
      <c r="M40" s="20" t="s">
        <v>3</v>
      </c>
      <c r="N40" s="20" t="s">
        <v>8</v>
      </c>
      <c r="O40" s="20" t="s">
        <v>3</v>
      </c>
      <c r="P40" s="11" t="s">
        <v>7</v>
      </c>
      <c r="Q40" s="4">
        <v>0</v>
      </c>
      <c r="R40" s="5" t="s">
        <v>1133</v>
      </c>
      <c r="S40" s="8" t="b">
        <f t="shared" si="0"/>
        <v>1</v>
      </c>
    </row>
    <row r="41" spans="1:19" s="5" customFormat="1" ht="42" customHeight="1">
      <c r="A41" s="2">
        <v>39</v>
      </c>
      <c r="B41" s="12">
        <v>2544640514</v>
      </c>
      <c r="C41" s="21">
        <v>250371518065</v>
      </c>
      <c r="D41" s="17">
        <f t="shared" si="1"/>
        <v>250408</v>
      </c>
      <c r="E41" s="22" t="s">
        <v>1134</v>
      </c>
      <c r="F41" s="12" t="s">
        <v>19</v>
      </c>
      <c r="G41" s="14" t="s">
        <v>15</v>
      </c>
      <c r="H41" s="19" t="s">
        <v>34</v>
      </c>
      <c r="I41" s="20" t="s">
        <v>3</v>
      </c>
      <c r="J41" s="20" t="s">
        <v>2</v>
      </c>
      <c r="K41" s="20" t="s">
        <v>4</v>
      </c>
      <c r="L41" s="20" t="s">
        <v>2</v>
      </c>
      <c r="M41" s="20" t="s">
        <v>2</v>
      </c>
      <c r="N41" s="20" t="s">
        <v>8</v>
      </c>
      <c r="O41" s="20" t="s">
        <v>8</v>
      </c>
      <c r="P41" s="11" t="s">
        <v>17</v>
      </c>
      <c r="Q41" s="4">
        <v>8.6111111111111107</v>
      </c>
      <c r="R41" s="5" t="s">
        <v>1134</v>
      </c>
      <c r="S41" s="8" t="b">
        <f t="shared" si="0"/>
        <v>1</v>
      </c>
    </row>
    <row r="42" spans="1:19" s="5" customFormat="1" ht="42" customHeight="1">
      <c r="A42" s="2">
        <v>40</v>
      </c>
      <c r="B42" s="12">
        <v>2544640817</v>
      </c>
      <c r="C42" s="21">
        <v>250371518066</v>
      </c>
      <c r="D42" s="17">
        <f t="shared" si="1"/>
        <v>250409</v>
      </c>
      <c r="E42" s="22" t="s">
        <v>1135</v>
      </c>
      <c r="F42" s="12" t="s">
        <v>19</v>
      </c>
      <c r="G42" s="14" t="s">
        <v>15</v>
      </c>
      <c r="H42" s="19" t="s">
        <v>34</v>
      </c>
      <c r="I42" s="20" t="s">
        <v>2</v>
      </c>
      <c r="J42" s="20" t="s">
        <v>8</v>
      </c>
      <c r="K42" s="20" t="s">
        <v>8</v>
      </c>
      <c r="L42" s="20" t="s">
        <v>8</v>
      </c>
      <c r="M42" s="20" t="s">
        <v>8</v>
      </c>
      <c r="N42" s="20" t="s">
        <v>8</v>
      </c>
      <c r="O42" s="20" t="s">
        <v>8</v>
      </c>
      <c r="P42" s="11" t="s">
        <v>17</v>
      </c>
      <c r="Q42" s="4">
        <v>9.8333333333333339</v>
      </c>
      <c r="R42" s="5" t="s">
        <v>1135</v>
      </c>
      <c r="S42" s="8" t="b">
        <f t="shared" si="0"/>
        <v>1</v>
      </c>
    </row>
    <row r="43" spans="1:19" s="5" customFormat="1" ht="42" customHeight="1">
      <c r="A43" s="2">
        <v>41</v>
      </c>
      <c r="B43" s="12">
        <v>2544641048</v>
      </c>
      <c r="C43" s="21">
        <v>250371518067</v>
      </c>
      <c r="D43" s="17">
        <f t="shared" si="1"/>
        <v>250410</v>
      </c>
      <c r="E43" s="22" t="s">
        <v>1136</v>
      </c>
      <c r="F43" s="12" t="s">
        <v>19</v>
      </c>
      <c r="G43" s="14" t="s">
        <v>15</v>
      </c>
      <c r="H43" s="19" t="s">
        <v>34</v>
      </c>
      <c r="I43" s="20" t="s">
        <v>2</v>
      </c>
      <c r="J43" s="20" t="s">
        <v>8</v>
      </c>
      <c r="K43" s="20" t="s">
        <v>8</v>
      </c>
      <c r="L43" s="20" t="s">
        <v>8</v>
      </c>
      <c r="M43" s="20" t="s">
        <v>8</v>
      </c>
      <c r="N43" s="20" t="s">
        <v>8</v>
      </c>
      <c r="O43" s="20" t="s">
        <v>8</v>
      </c>
      <c r="P43" s="11" t="s">
        <v>17</v>
      </c>
      <c r="Q43" s="4">
        <v>9.8333333333333339</v>
      </c>
      <c r="R43" s="5" t="s">
        <v>1136</v>
      </c>
      <c r="S43" s="8" t="b">
        <f t="shared" si="0"/>
        <v>1</v>
      </c>
    </row>
    <row r="44" spans="1:19" s="5" customFormat="1" ht="42" customHeight="1">
      <c r="A44" s="2">
        <v>42</v>
      </c>
      <c r="B44" s="12">
        <v>2544640128</v>
      </c>
      <c r="C44" s="21">
        <v>250371518069</v>
      </c>
      <c r="D44" s="17">
        <f t="shared" si="1"/>
        <v>250411</v>
      </c>
      <c r="E44" s="22" t="s">
        <v>1137</v>
      </c>
      <c r="F44" s="12" t="s">
        <v>19</v>
      </c>
      <c r="G44" s="14" t="s">
        <v>15</v>
      </c>
      <c r="H44" s="19" t="s">
        <v>34</v>
      </c>
      <c r="I44" s="20" t="s">
        <v>4</v>
      </c>
      <c r="J44" s="20" t="s">
        <v>8</v>
      </c>
      <c r="K44" s="20" t="s">
        <v>3</v>
      </c>
      <c r="L44" s="20" t="s">
        <v>2</v>
      </c>
      <c r="M44" s="20" t="s">
        <v>3</v>
      </c>
      <c r="N44" s="20" t="s">
        <v>8</v>
      </c>
      <c r="O44" s="20" t="s">
        <v>8</v>
      </c>
      <c r="P44" s="11" t="s">
        <v>17</v>
      </c>
      <c r="Q44" s="4">
        <v>8.7777777777777786</v>
      </c>
      <c r="R44" s="5" t="s">
        <v>1137</v>
      </c>
      <c r="S44" s="8" t="b">
        <f t="shared" si="0"/>
        <v>1</v>
      </c>
    </row>
    <row r="45" spans="1:19" s="5" customFormat="1" ht="42" customHeight="1">
      <c r="A45" s="2">
        <v>43</v>
      </c>
      <c r="B45" s="12">
        <v>2544640091</v>
      </c>
      <c r="C45" s="21">
        <v>250371518070</v>
      </c>
      <c r="D45" s="17">
        <f t="shared" si="1"/>
        <v>250412</v>
      </c>
      <c r="E45" s="22" t="s">
        <v>1138</v>
      </c>
      <c r="F45" s="12" t="s">
        <v>19</v>
      </c>
      <c r="G45" s="14" t="s">
        <v>15</v>
      </c>
      <c r="H45" s="19" t="s">
        <v>34</v>
      </c>
      <c r="I45" s="20" t="s">
        <v>5</v>
      </c>
      <c r="J45" s="20" t="s">
        <v>2</v>
      </c>
      <c r="K45" s="20" t="s">
        <v>4</v>
      </c>
      <c r="L45" s="20" t="s">
        <v>2</v>
      </c>
      <c r="M45" s="20" t="s">
        <v>8</v>
      </c>
      <c r="N45" s="20" t="s">
        <v>3</v>
      </c>
      <c r="O45" s="20" t="s">
        <v>4</v>
      </c>
      <c r="P45" s="11" t="s">
        <v>17</v>
      </c>
      <c r="Q45" s="4">
        <v>7.833333333333333</v>
      </c>
      <c r="R45" s="5" t="s">
        <v>1138</v>
      </c>
      <c r="S45" s="8" t="b">
        <f t="shared" si="0"/>
        <v>1</v>
      </c>
    </row>
    <row r="46" spans="1:19" s="5" customFormat="1" ht="42" customHeight="1">
      <c r="A46" s="2">
        <v>44</v>
      </c>
      <c r="B46" s="12">
        <v>2544640199</v>
      </c>
      <c r="C46" s="21">
        <v>250371518071</v>
      </c>
      <c r="D46" s="17">
        <f t="shared" si="1"/>
        <v>250413</v>
      </c>
      <c r="E46" s="22" t="s">
        <v>1139</v>
      </c>
      <c r="F46" s="12" t="s">
        <v>19</v>
      </c>
      <c r="G46" s="14" t="s">
        <v>15</v>
      </c>
      <c r="H46" s="19" t="s">
        <v>34</v>
      </c>
      <c r="I46" s="20" t="s">
        <v>3</v>
      </c>
      <c r="J46" s="20" t="s">
        <v>8</v>
      </c>
      <c r="K46" s="20" t="s">
        <v>4</v>
      </c>
      <c r="L46" s="20" t="s">
        <v>2</v>
      </c>
      <c r="M46" s="20" t="s">
        <v>8</v>
      </c>
      <c r="N46" s="20" t="s">
        <v>2</v>
      </c>
      <c r="O46" s="20" t="s">
        <v>8</v>
      </c>
      <c r="P46" s="11" t="s">
        <v>17</v>
      </c>
      <c r="Q46" s="4">
        <v>8.6666666666666661</v>
      </c>
      <c r="R46" s="5" t="s">
        <v>1139</v>
      </c>
      <c r="S46" s="8" t="b">
        <f t="shared" si="0"/>
        <v>1</v>
      </c>
    </row>
    <row r="47" spans="1:19" s="5" customFormat="1" ht="42" customHeight="1">
      <c r="A47" s="2">
        <v>45</v>
      </c>
      <c r="B47" s="12">
        <v>2544640173</v>
      </c>
      <c r="C47" s="21">
        <v>250371518072</v>
      </c>
      <c r="D47" s="17">
        <f t="shared" si="1"/>
        <v>250414</v>
      </c>
      <c r="E47" s="22" t="s">
        <v>1140</v>
      </c>
      <c r="F47" s="12" t="s">
        <v>19</v>
      </c>
      <c r="G47" s="14" t="s">
        <v>15</v>
      </c>
      <c r="H47" s="19" t="s">
        <v>34</v>
      </c>
      <c r="I47" s="20" t="s">
        <v>3</v>
      </c>
      <c r="J47" s="20" t="s">
        <v>8</v>
      </c>
      <c r="K47" s="20" t="s">
        <v>2</v>
      </c>
      <c r="L47" s="20" t="s">
        <v>4</v>
      </c>
      <c r="M47" s="20" t="s">
        <v>8</v>
      </c>
      <c r="N47" s="20" t="s">
        <v>3</v>
      </c>
      <c r="O47" s="20" t="s">
        <v>2</v>
      </c>
      <c r="P47" s="11" t="s">
        <v>17</v>
      </c>
      <c r="Q47" s="4">
        <v>8.5555555555555554</v>
      </c>
      <c r="R47" s="5" t="s">
        <v>1140</v>
      </c>
      <c r="S47" s="8" t="b">
        <f t="shared" si="0"/>
        <v>1</v>
      </c>
    </row>
    <row r="48" spans="1:19" s="5" customFormat="1" ht="42" customHeight="1">
      <c r="A48" s="2">
        <v>46</v>
      </c>
      <c r="B48" s="12">
        <v>2544640456</v>
      </c>
      <c r="C48" s="21">
        <v>250371518073</v>
      </c>
      <c r="D48" s="17">
        <f t="shared" si="1"/>
        <v>250415</v>
      </c>
      <c r="E48" s="22" t="s">
        <v>1546</v>
      </c>
      <c r="F48" s="12" t="s">
        <v>19</v>
      </c>
      <c r="G48" s="14" t="s">
        <v>15</v>
      </c>
      <c r="H48" s="19" t="s">
        <v>34</v>
      </c>
      <c r="I48" s="20" t="s">
        <v>4</v>
      </c>
      <c r="J48" s="20" t="s">
        <v>8</v>
      </c>
      <c r="K48" s="20" t="s">
        <v>4</v>
      </c>
      <c r="L48" s="20" t="s">
        <v>3</v>
      </c>
      <c r="M48" s="20" t="s">
        <v>2</v>
      </c>
      <c r="N48" s="20" t="s">
        <v>4</v>
      </c>
      <c r="O48" s="20" t="s">
        <v>2</v>
      </c>
      <c r="P48" s="11" t="s">
        <v>17</v>
      </c>
      <c r="Q48" s="4">
        <v>7.8888888888888893</v>
      </c>
      <c r="R48" s="5" t="s">
        <v>1546</v>
      </c>
      <c r="S48" s="8" t="b">
        <f t="shared" si="0"/>
        <v>1</v>
      </c>
    </row>
    <row r="49" spans="1:19" s="5" customFormat="1" ht="42" customHeight="1">
      <c r="A49" s="2">
        <v>47</v>
      </c>
      <c r="B49" s="12">
        <v>2544640524</v>
      </c>
      <c r="C49" s="21">
        <v>250371518074</v>
      </c>
      <c r="D49" s="17">
        <f t="shared" si="1"/>
        <v>250416</v>
      </c>
      <c r="E49" s="22" t="s">
        <v>1547</v>
      </c>
      <c r="F49" s="12" t="s">
        <v>19</v>
      </c>
      <c r="G49" s="14" t="s">
        <v>15</v>
      </c>
      <c r="H49" s="19" t="s">
        <v>34</v>
      </c>
      <c r="I49" s="20" t="s">
        <v>4</v>
      </c>
      <c r="J49" s="20" t="s">
        <v>2</v>
      </c>
      <c r="K49" s="20" t="s">
        <v>3</v>
      </c>
      <c r="L49" s="20" t="s">
        <v>8</v>
      </c>
      <c r="M49" s="20" t="s">
        <v>8</v>
      </c>
      <c r="N49" s="20" t="s">
        <v>2</v>
      </c>
      <c r="O49" s="20" t="s">
        <v>2</v>
      </c>
      <c r="P49" s="11" t="s">
        <v>17</v>
      </c>
      <c r="Q49" s="4">
        <v>8.6666666666666661</v>
      </c>
      <c r="R49" s="5" t="s">
        <v>1547</v>
      </c>
      <c r="S49" s="8" t="b">
        <f t="shared" si="0"/>
        <v>1</v>
      </c>
    </row>
    <row r="50" spans="1:19" s="5" customFormat="1" ht="42" customHeight="1">
      <c r="A50" s="2">
        <v>48</v>
      </c>
      <c r="B50" s="12">
        <v>2544640044</v>
      </c>
      <c r="C50" s="21">
        <v>250371518075</v>
      </c>
      <c r="D50" s="17">
        <f t="shared" si="1"/>
        <v>250417</v>
      </c>
      <c r="E50" s="22" t="s">
        <v>1141</v>
      </c>
      <c r="F50" s="12" t="s">
        <v>19</v>
      </c>
      <c r="G50" s="14" t="s">
        <v>15</v>
      </c>
      <c r="H50" s="19" t="s">
        <v>34</v>
      </c>
      <c r="I50" s="20" t="s">
        <v>4</v>
      </c>
      <c r="J50" s="20" t="s">
        <v>3</v>
      </c>
      <c r="K50" s="20" t="s">
        <v>2</v>
      </c>
      <c r="L50" s="20" t="s">
        <v>3</v>
      </c>
      <c r="M50" s="20" t="s">
        <v>3</v>
      </c>
      <c r="N50" s="20" t="s">
        <v>4</v>
      </c>
      <c r="O50" s="20" t="s">
        <v>8</v>
      </c>
      <c r="P50" s="11" t="s">
        <v>17</v>
      </c>
      <c r="Q50" s="4">
        <v>8</v>
      </c>
      <c r="R50" s="5" t="s">
        <v>1141</v>
      </c>
      <c r="S50" s="8" t="b">
        <f t="shared" si="0"/>
        <v>1</v>
      </c>
    </row>
    <row r="51" spans="1:19" s="5" customFormat="1" ht="42" customHeight="1">
      <c r="A51" s="2">
        <v>49</v>
      </c>
      <c r="B51" s="12">
        <v>2544641077</v>
      </c>
      <c r="C51" s="21">
        <v>250371518076</v>
      </c>
      <c r="D51" s="17">
        <f t="shared" si="1"/>
        <v>250418</v>
      </c>
      <c r="E51" s="22" t="s">
        <v>1142</v>
      </c>
      <c r="F51" s="12" t="s">
        <v>19</v>
      </c>
      <c r="G51" s="14" t="s">
        <v>15</v>
      </c>
      <c r="H51" s="19" t="s">
        <v>34</v>
      </c>
      <c r="I51" s="20" t="s">
        <v>4</v>
      </c>
      <c r="J51" s="20" t="s">
        <v>3</v>
      </c>
      <c r="K51" s="20" t="s">
        <v>3</v>
      </c>
      <c r="L51" s="20" t="s">
        <v>3</v>
      </c>
      <c r="M51" s="20" t="s">
        <v>8</v>
      </c>
      <c r="N51" s="20" t="s">
        <v>4</v>
      </c>
      <c r="O51" s="20" t="s">
        <v>2</v>
      </c>
      <c r="P51" s="11" t="s">
        <v>17</v>
      </c>
      <c r="Q51" s="4">
        <v>7.833333333333333</v>
      </c>
      <c r="R51" s="5" t="s">
        <v>1142</v>
      </c>
      <c r="S51" s="8" t="b">
        <f t="shared" si="0"/>
        <v>1</v>
      </c>
    </row>
    <row r="52" spans="1:19" s="5" customFormat="1" ht="42" customHeight="1">
      <c r="A52" s="2">
        <v>50</v>
      </c>
      <c r="B52" s="12">
        <v>2544640347</v>
      </c>
      <c r="C52" s="21">
        <v>250371518077</v>
      </c>
      <c r="D52" s="17">
        <f t="shared" si="1"/>
        <v>250419</v>
      </c>
      <c r="E52" s="22" t="s">
        <v>1143</v>
      </c>
      <c r="F52" s="12" t="s">
        <v>19</v>
      </c>
      <c r="G52" s="14" t="s">
        <v>15</v>
      </c>
      <c r="H52" s="19" t="s">
        <v>34</v>
      </c>
      <c r="I52" s="20" t="s">
        <v>4</v>
      </c>
      <c r="J52" s="20" t="s">
        <v>2</v>
      </c>
      <c r="K52" s="20" t="s">
        <v>4</v>
      </c>
      <c r="L52" s="20" t="s">
        <v>8</v>
      </c>
      <c r="M52" s="20" t="s">
        <v>2</v>
      </c>
      <c r="N52" s="20" t="s">
        <v>2</v>
      </c>
      <c r="O52" s="20" t="s">
        <v>8</v>
      </c>
      <c r="P52" s="11" t="s">
        <v>17</v>
      </c>
      <c r="Q52" s="4">
        <v>8.4444444444444446</v>
      </c>
      <c r="R52" s="5" t="s">
        <v>1143</v>
      </c>
      <c r="S52" s="8" t="b">
        <f t="shared" si="0"/>
        <v>1</v>
      </c>
    </row>
    <row r="53" spans="1:19" s="5" customFormat="1" ht="42" customHeight="1">
      <c r="A53" s="2">
        <v>51</v>
      </c>
      <c r="B53" s="12">
        <v>2544640308</v>
      </c>
      <c r="C53" s="21">
        <v>250371518078</v>
      </c>
      <c r="D53" s="17">
        <f t="shared" si="1"/>
        <v>250420</v>
      </c>
      <c r="E53" s="22" t="s">
        <v>1144</v>
      </c>
      <c r="F53" s="12" t="s">
        <v>19</v>
      </c>
      <c r="G53" s="14" t="s">
        <v>15</v>
      </c>
      <c r="H53" s="19" t="s">
        <v>34</v>
      </c>
      <c r="I53" s="20" t="s">
        <v>3</v>
      </c>
      <c r="J53" s="20" t="s">
        <v>8</v>
      </c>
      <c r="K53" s="20" t="s">
        <v>3</v>
      </c>
      <c r="L53" s="20" t="s">
        <v>8</v>
      </c>
      <c r="M53" s="20" t="s">
        <v>8</v>
      </c>
      <c r="N53" s="20" t="s">
        <v>8</v>
      </c>
      <c r="O53" s="20" t="s">
        <v>2</v>
      </c>
      <c r="P53" s="11" t="s">
        <v>17</v>
      </c>
      <c r="Q53" s="4">
        <v>9.1666666666666661</v>
      </c>
      <c r="R53" s="5" t="s">
        <v>1144</v>
      </c>
      <c r="S53" s="8" t="b">
        <f t="shared" si="0"/>
        <v>1</v>
      </c>
    </row>
    <row r="54" spans="1:19" s="5" customFormat="1" ht="42" customHeight="1">
      <c r="A54" s="2">
        <v>52</v>
      </c>
      <c r="B54" s="12">
        <v>2544640122</v>
      </c>
      <c r="C54" s="21">
        <v>250371518079</v>
      </c>
      <c r="D54" s="17">
        <f t="shared" si="1"/>
        <v>250421</v>
      </c>
      <c r="E54" s="22" t="s">
        <v>1145</v>
      </c>
      <c r="F54" s="12" t="s">
        <v>19</v>
      </c>
      <c r="G54" s="14" t="s">
        <v>15</v>
      </c>
      <c r="H54" s="19" t="s">
        <v>34</v>
      </c>
      <c r="I54" s="20" t="s">
        <v>4</v>
      </c>
      <c r="J54" s="20" t="s">
        <v>3</v>
      </c>
      <c r="K54" s="20" t="s">
        <v>6</v>
      </c>
      <c r="L54" s="20" t="s">
        <v>3</v>
      </c>
      <c r="M54" s="20" t="s">
        <v>3</v>
      </c>
      <c r="N54" s="20" t="s">
        <v>3</v>
      </c>
      <c r="O54" s="20" t="s">
        <v>2</v>
      </c>
      <c r="P54" s="11" t="s">
        <v>17</v>
      </c>
      <c r="Q54" s="4">
        <v>7.2222222222222223</v>
      </c>
      <c r="R54" s="5" t="s">
        <v>1145</v>
      </c>
      <c r="S54" s="8" t="b">
        <f t="shared" si="0"/>
        <v>1</v>
      </c>
    </row>
    <row r="55" spans="1:19" s="5" customFormat="1" ht="42" customHeight="1">
      <c r="A55" s="2">
        <v>53</v>
      </c>
      <c r="B55" s="12">
        <v>2544640277</v>
      </c>
      <c r="C55" s="21">
        <v>250371518081</v>
      </c>
      <c r="D55" s="17">
        <f t="shared" si="1"/>
        <v>250422</v>
      </c>
      <c r="E55" s="22" t="s">
        <v>1146</v>
      </c>
      <c r="F55" s="12" t="s">
        <v>19</v>
      </c>
      <c r="G55" s="14" t="s">
        <v>15</v>
      </c>
      <c r="H55" s="19" t="s">
        <v>34</v>
      </c>
      <c r="I55" s="20" t="s">
        <v>3</v>
      </c>
      <c r="J55" s="20" t="s">
        <v>8</v>
      </c>
      <c r="K55" s="20" t="s">
        <v>2</v>
      </c>
      <c r="L55" s="20" t="s">
        <v>3</v>
      </c>
      <c r="M55" s="20" t="s">
        <v>8</v>
      </c>
      <c r="N55" s="20" t="s">
        <v>8</v>
      </c>
      <c r="O55" s="20" t="s">
        <v>2</v>
      </c>
      <c r="P55" s="11" t="s">
        <v>17</v>
      </c>
      <c r="Q55" s="4">
        <v>9.0555555555555554</v>
      </c>
      <c r="R55" s="5" t="s">
        <v>1146</v>
      </c>
      <c r="S55" s="8" t="b">
        <f t="shared" si="0"/>
        <v>1</v>
      </c>
    </row>
    <row r="56" spans="1:19" s="5" customFormat="1" ht="42" customHeight="1">
      <c r="A56" s="2">
        <v>54</v>
      </c>
      <c r="B56" s="12">
        <v>2544641016</v>
      </c>
      <c r="C56" s="21">
        <v>250371518082</v>
      </c>
      <c r="D56" s="17">
        <f t="shared" si="1"/>
        <v>250423</v>
      </c>
      <c r="E56" s="22" t="s">
        <v>1147</v>
      </c>
      <c r="F56" s="12" t="s">
        <v>19</v>
      </c>
      <c r="G56" s="14" t="s">
        <v>15</v>
      </c>
      <c r="H56" s="19" t="s">
        <v>34</v>
      </c>
      <c r="I56" s="20" t="s">
        <v>3</v>
      </c>
      <c r="J56" s="20" t="s">
        <v>2</v>
      </c>
      <c r="K56" s="20" t="s">
        <v>2</v>
      </c>
      <c r="L56" s="20" t="s">
        <v>8</v>
      </c>
      <c r="M56" s="20" t="s">
        <v>8</v>
      </c>
      <c r="N56" s="20" t="s">
        <v>8</v>
      </c>
      <c r="O56" s="20" t="s">
        <v>8</v>
      </c>
      <c r="P56" s="11" t="s">
        <v>17</v>
      </c>
      <c r="Q56" s="4">
        <v>9.2777777777777786</v>
      </c>
      <c r="R56" s="5" t="s">
        <v>1147</v>
      </c>
      <c r="S56" s="8" t="b">
        <f t="shared" si="0"/>
        <v>1</v>
      </c>
    </row>
    <row r="57" spans="1:19" s="5" customFormat="1" ht="42" customHeight="1">
      <c r="A57" s="2">
        <v>55</v>
      </c>
      <c r="B57" s="12">
        <v>2544640281</v>
      </c>
      <c r="C57" s="21">
        <v>250371518083</v>
      </c>
      <c r="D57" s="17">
        <f t="shared" si="1"/>
        <v>250424</v>
      </c>
      <c r="E57" s="22" t="s">
        <v>1148</v>
      </c>
      <c r="F57" s="12" t="s">
        <v>19</v>
      </c>
      <c r="G57" s="14" t="s">
        <v>15</v>
      </c>
      <c r="H57" s="19" t="s">
        <v>34</v>
      </c>
      <c r="I57" s="20" t="s">
        <v>3</v>
      </c>
      <c r="J57" s="20" t="s">
        <v>8</v>
      </c>
      <c r="K57" s="20" t="s">
        <v>2</v>
      </c>
      <c r="L57" s="20" t="s">
        <v>8</v>
      </c>
      <c r="M57" s="20" t="s">
        <v>8</v>
      </c>
      <c r="N57" s="20" t="s">
        <v>8</v>
      </c>
      <c r="O57" s="20" t="s">
        <v>2</v>
      </c>
      <c r="P57" s="11" t="s">
        <v>17</v>
      </c>
      <c r="Q57" s="4">
        <v>9.3888888888888893</v>
      </c>
      <c r="R57" s="5" t="s">
        <v>1148</v>
      </c>
      <c r="S57" s="8" t="b">
        <f t="shared" si="0"/>
        <v>1</v>
      </c>
    </row>
    <row r="58" spans="1:19" s="5" customFormat="1" ht="42" customHeight="1">
      <c r="A58" s="2">
        <v>56</v>
      </c>
      <c r="B58" s="12">
        <v>2544640804</v>
      </c>
      <c r="C58" s="21">
        <v>250371518084</v>
      </c>
      <c r="D58" s="17">
        <f t="shared" si="1"/>
        <v>250425</v>
      </c>
      <c r="E58" s="22" t="s">
        <v>1149</v>
      </c>
      <c r="F58" s="12" t="s">
        <v>19</v>
      </c>
      <c r="G58" s="14" t="s">
        <v>15</v>
      </c>
      <c r="H58" s="19" t="s">
        <v>34</v>
      </c>
      <c r="I58" s="20" t="s">
        <v>4</v>
      </c>
      <c r="J58" s="20" t="s">
        <v>4</v>
      </c>
      <c r="K58" s="20" t="s">
        <v>4</v>
      </c>
      <c r="L58" s="20" t="s">
        <v>4</v>
      </c>
      <c r="M58" s="20" t="s">
        <v>2</v>
      </c>
      <c r="N58" s="20" t="s">
        <v>3</v>
      </c>
      <c r="O58" s="20" t="s">
        <v>2</v>
      </c>
      <c r="P58" s="11" t="s">
        <v>17</v>
      </c>
      <c r="Q58" s="4">
        <v>7.3888888888888893</v>
      </c>
      <c r="R58" s="5" t="s">
        <v>1149</v>
      </c>
      <c r="S58" s="8" t="b">
        <f t="shared" si="0"/>
        <v>1</v>
      </c>
    </row>
    <row r="59" spans="1:19" s="5" customFormat="1" ht="42" customHeight="1">
      <c r="A59" s="2">
        <v>57</v>
      </c>
      <c r="B59" s="12">
        <v>2544640970</v>
      </c>
      <c r="C59" s="21">
        <v>250371518085</v>
      </c>
      <c r="D59" s="17">
        <f t="shared" si="1"/>
        <v>250426</v>
      </c>
      <c r="E59" s="22" t="s">
        <v>1150</v>
      </c>
      <c r="F59" s="12" t="s">
        <v>19</v>
      </c>
      <c r="G59" s="14" t="s">
        <v>15</v>
      </c>
      <c r="H59" s="19" t="s">
        <v>34</v>
      </c>
      <c r="I59" s="20" t="s">
        <v>6</v>
      </c>
      <c r="J59" s="20" t="s">
        <v>6</v>
      </c>
      <c r="K59" s="20" t="s">
        <v>6</v>
      </c>
      <c r="L59" s="20" t="s">
        <v>7</v>
      </c>
      <c r="M59" s="20" t="s">
        <v>8</v>
      </c>
      <c r="N59" s="20" t="s">
        <v>7</v>
      </c>
      <c r="O59" s="20" t="s">
        <v>3</v>
      </c>
      <c r="P59" s="11" t="s">
        <v>7</v>
      </c>
      <c r="Q59" s="4">
        <v>0</v>
      </c>
      <c r="R59" s="5" t="s">
        <v>1150</v>
      </c>
      <c r="S59" s="8" t="b">
        <f t="shared" si="0"/>
        <v>1</v>
      </c>
    </row>
    <row r="60" spans="1:19" s="5" customFormat="1" ht="42" customHeight="1">
      <c r="A60" s="2">
        <v>58</v>
      </c>
      <c r="B60" s="12">
        <v>2544640623</v>
      </c>
      <c r="C60" s="21">
        <v>250371518090</v>
      </c>
      <c r="D60" s="17">
        <f t="shared" si="1"/>
        <v>250427</v>
      </c>
      <c r="E60" s="22" t="s">
        <v>1151</v>
      </c>
      <c r="F60" s="12" t="s">
        <v>19</v>
      </c>
      <c r="G60" s="14" t="s">
        <v>15</v>
      </c>
      <c r="H60" s="19" t="s">
        <v>34</v>
      </c>
      <c r="I60" s="20" t="s">
        <v>3</v>
      </c>
      <c r="J60" s="20" t="s">
        <v>8</v>
      </c>
      <c r="K60" s="20" t="s">
        <v>2</v>
      </c>
      <c r="L60" s="20" t="s">
        <v>8</v>
      </c>
      <c r="M60" s="20" t="s">
        <v>8</v>
      </c>
      <c r="N60" s="20" t="s">
        <v>2</v>
      </c>
      <c r="O60" s="20" t="s">
        <v>2</v>
      </c>
      <c r="P60" s="11" t="s">
        <v>17</v>
      </c>
      <c r="Q60" s="4">
        <v>9.2222222222222214</v>
      </c>
      <c r="R60" s="5" t="s">
        <v>1151</v>
      </c>
      <c r="S60" s="8" t="b">
        <f t="shared" si="0"/>
        <v>1</v>
      </c>
    </row>
    <row r="61" spans="1:19" s="5" customFormat="1" ht="42" customHeight="1">
      <c r="A61" s="2">
        <v>59</v>
      </c>
      <c r="B61" s="12">
        <v>2544640146</v>
      </c>
      <c r="C61" s="21">
        <v>250371518091</v>
      </c>
      <c r="D61" s="17">
        <f t="shared" si="1"/>
        <v>250428</v>
      </c>
      <c r="E61" s="22" t="s">
        <v>1152</v>
      </c>
      <c r="F61" s="12" t="s">
        <v>19</v>
      </c>
      <c r="G61" s="14" t="s">
        <v>15</v>
      </c>
      <c r="H61" s="19" t="s">
        <v>34</v>
      </c>
      <c r="I61" s="20" t="s">
        <v>4</v>
      </c>
      <c r="J61" s="20" t="s">
        <v>2</v>
      </c>
      <c r="K61" s="20" t="s">
        <v>3</v>
      </c>
      <c r="L61" s="20" t="s">
        <v>3</v>
      </c>
      <c r="M61" s="20" t="s">
        <v>3</v>
      </c>
      <c r="N61" s="20" t="s">
        <v>5</v>
      </c>
      <c r="O61" s="20" t="s">
        <v>4</v>
      </c>
      <c r="P61" s="11" t="s">
        <v>17</v>
      </c>
      <c r="Q61" s="4">
        <v>7.6111111111111107</v>
      </c>
      <c r="R61" s="5" t="s">
        <v>1152</v>
      </c>
      <c r="S61" s="8" t="b">
        <f t="shared" si="0"/>
        <v>1</v>
      </c>
    </row>
    <row r="62" spans="1:19" s="5" customFormat="1" ht="42" customHeight="1">
      <c r="A62" s="2">
        <v>60</v>
      </c>
      <c r="B62" s="12">
        <v>2544640590</v>
      </c>
      <c r="C62" s="21">
        <v>250371518092</v>
      </c>
      <c r="D62" s="17">
        <f t="shared" si="1"/>
        <v>250429</v>
      </c>
      <c r="E62" s="22" t="s">
        <v>1153</v>
      </c>
      <c r="F62" s="12" t="s">
        <v>19</v>
      </c>
      <c r="G62" s="14" t="s">
        <v>15</v>
      </c>
      <c r="H62" s="19" t="s">
        <v>34</v>
      </c>
      <c r="I62" s="20" t="s">
        <v>3</v>
      </c>
      <c r="J62" s="20" t="s">
        <v>8</v>
      </c>
      <c r="K62" s="20" t="s">
        <v>8</v>
      </c>
      <c r="L62" s="20" t="s">
        <v>8</v>
      </c>
      <c r="M62" s="20" t="s">
        <v>8</v>
      </c>
      <c r="N62" s="20" t="s">
        <v>8</v>
      </c>
      <c r="O62" s="20" t="s">
        <v>8</v>
      </c>
      <c r="P62" s="11" t="s">
        <v>17</v>
      </c>
      <c r="Q62" s="4">
        <v>9.6666666666666661</v>
      </c>
      <c r="R62" s="5" t="s">
        <v>1153</v>
      </c>
      <c r="S62" s="8" t="b">
        <f t="shared" si="0"/>
        <v>1</v>
      </c>
    </row>
    <row r="63" spans="1:19" s="5" customFormat="1" ht="42" customHeight="1">
      <c r="A63" s="2">
        <v>61</v>
      </c>
      <c r="B63" s="12">
        <v>2544640286</v>
      </c>
      <c r="C63" s="21">
        <v>250371518095</v>
      </c>
      <c r="D63" s="17">
        <f t="shared" si="1"/>
        <v>250430</v>
      </c>
      <c r="E63" s="22" t="s">
        <v>1154</v>
      </c>
      <c r="F63" s="12" t="s">
        <v>19</v>
      </c>
      <c r="G63" s="14" t="s">
        <v>15</v>
      </c>
      <c r="H63" s="19" t="s">
        <v>34</v>
      </c>
      <c r="I63" s="20" t="s">
        <v>4</v>
      </c>
      <c r="J63" s="20" t="s">
        <v>2</v>
      </c>
      <c r="K63" s="20" t="s">
        <v>5</v>
      </c>
      <c r="L63" s="20" t="s">
        <v>3</v>
      </c>
      <c r="M63" s="20" t="s">
        <v>8</v>
      </c>
      <c r="N63" s="20" t="s">
        <v>3</v>
      </c>
      <c r="O63" s="20" t="s">
        <v>2</v>
      </c>
      <c r="P63" s="11" t="s">
        <v>17</v>
      </c>
      <c r="Q63" s="4">
        <v>7.7222222222222223</v>
      </c>
      <c r="R63" s="5" t="s">
        <v>1154</v>
      </c>
      <c r="S63" s="8" t="b">
        <f t="shared" si="0"/>
        <v>1</v>
      </c>
    </row>
    <row r="64" spans="1:19" s="5" customFormat="1" ht="42" customHeight="1">
      <c r="A64" s="2">
        <v>62</v>
      </c>
      <c r="B64" s="12">
        <v>2544640051</v>
      </c>
      <c r="C64" s="21">
        <v>250371518097</v>
      </c>
      <c r="D64" s="17">
        <f t="shared" si="1"/>
        <v>250431</v>
      </c>
      <c r="E64" s="22" t="s">
        <v>1155</v>
      </c>
      <c r="F64" s="12" t="s">
        <v>19</v>
      </c>
      <c r="G64" s="14" t="s">
        <v>15</v>
      </c>
      <c r="H64" s="19" t="s">
        <v>34</v>
      </c>
      <c r="I64" s="20" t="s">
        <v>3</v>
      </c>
      <c r="J64" s="20" t="s">
        <v>8</v>
      </c>
      <c r="K64" s="20" t="s">
        <v>2</v>
      </c>
      <c r="L64" s="20" t="s">
        <v>3</v>
      </c>
      <c r="M64" s="20" t="s">
        <v>2</v>
      </c>
      <c r="N64" s="20" t="s">
        <v>3</v>
      </c>
      <c r="O64" s="20" t="s">
        <v>8</v>
      </c>
      <c r="P64" s="11" t="s">
        <v>17</v>
      </c>
      <c r="Q64" s="4">
        <v>8.7222222222222214</v>
      </c>
      <c r="R64" s="5" t="s">
        <v>1155</v>
      </c>
      <c r="S64" s="8" t="b">
        <f t="shared" si="0"/>
        <v>1</v>
      </c>
    </row>
    <row r="65" spans="1:19" s="5" customFormat="1" ht="42" customHeight="1">
      <c r="A65" s="2">
        <v>63</v>
      </c>
      <c r="B65" s="12">
        <v>2544640449</v>
      </c>
      <c r="C65" s="21">
        <v>250371518099</v>
      </c>
      <c r="D65" s="17">
        <f t="shared" si="1"/>
        <v>250432</v>
      </c>
      <c r="E65" s="22" t="s">
        <v>1156</v>
      </c>
      <c r="F65" s="12" t="s">
        <v>19</v>
      </c>
      <c r="G65" s="14" t="s">
        <v>15</v>
      </c>
      <c r="H65" s="19" t="s">
        <v>34</v>
      </c>
      <c r="I65" s="20" t="s">
        <v>5</v>
      </c>
      <c r="J65" s="20" t="s">
        <v>4</v>
      </c>
      <c r="K65" s="20" t="s">
        <v>3</v>
      </c>
      <c r="L65" s="20" t="s">
        <v>4</v>
      </c>
      <c r="M65" s="20" t="s">
        <v>8</v>
      </c>
      <c r="N65" s="20" t="s">
        <v>5</v>
      </c>
      <c r="O65" s="20" t="s">
        <v>8</v>
      </c>
      <c r="P65" s="11" t="s">
        <v>17</v>
      </c>
      <c r="Q65" s="4">
        <v>7.2222222222222223</v>
      </c>
      <c r="R65" s="5" t="s">
        <v>1156</v>
      </c>
      <c r="S65" s="8" t="b">
        <f t="shared" si="0"/>
        <v>1</v>
      </c>
    </row>
    <row r="66" spans="1:19" s="5" customFormat="1" ht="42" customHeight="1">
      <c r="A66" s="2">
        <v>64</v>
      </c>
      <c r="B66" s="12">
        <v>2544640666</v>
      </c>
      <c r="C66" s="21">
        <v>250371518100</v>
      </c>
      <c r="D66" s="17">
        <f t="shared" si="1"/>
        <v>250433</v>
      </c>
      <c r="E66" s="22" t="s">
        <v>1157</v>
      </c>
      <c r="F66" s="12" t="s">
        <v>19</v>
      </c>
      <c r="G66" s="14" t="s">
        <v>15</v>
      </c>
      <c r="H66" s="19" t="s">
        <v>34</v>
      </c>
      <c r="I66" s="20" t="s">
        <v>2</v>
      </c>
      <c r="J66" s="20" t="s">
        <v>8</v>
      </c>
      <c r="K66" s="20" t="s">
        <v>2</v>
      </c>
      <c r="L66" s="20" t="s">
        <v>8</v>
      </c>
      <c r="M66" s="20" t="s">
        <v>8</v>
      </c>
      <c r="N66" s="20" t="s">
        <v>2</v>
      </c>
      <c r="O66" s="20" t="s">
        <v>8</v>
      </c>
      <c r="P66" s="11" t="s">
        <v>17</v>
      </c>
      <c r="Q66" s="4">
        <v>9.4444444444444446</v>
      </c>
      <c r="R66" s="5" t="s">
        <v>1157</v>
      </c>
      <c r="S66" s="8" t="b">
        <f t="shared" si="0"/>
        <v>1</v>
      </c>
    </row>
    <row r="67" spans="1:19" s="5" customFormat="1" ht="42" customHeight="1">
      <c r="A67" s="2">
        <v>65</v>
      </c>
      <c r="B67" s="12">
        <v>2544640284</v>
      </c>
      <c r="C67" s="21">
        <v>250371518101</v>
      </c>
      <c r="D67" s="17">
        <f t="shared" si="1"/>
        <v>250434</v>
      </c>
      <c r="E67" s="22" t="s">
        <v>1158</v>
      </c>
      <c r="F67" s="12" t="s">
        <v>19</v>
      </c>
      <c r="G67" s="14" t="s">
        <v>15</v>
      </c>
      <c r="H67" s="19" t="s">
        <v>34</v>
      </c>
      <c r="I67" s="20" t="s">
        <v>3</v>
      </c>
      <c r="J67" s="20" t="s">
        <v>8</v>
      </c>
      <c r="K67" s="20" t="s">
        <v>2</v>
      </c>
      <c r="L67" s="20" t="s">
        <v>8</v>
      </c>
      <c r="M67" s="20" t="s">
        <v>8</v>
      </c>
      <c r="N67" s="20" t="s">
        <v>2</v>
      </c>
      <c r="O67" s="20" t="s">
        <v>8</v>
      </c>
      <c r="P67" s="11" t="s">
        <v>17</v>
      </c>
      <c r="Q67" s="4">
        <v>9.2777777777777786</v>
      </c>
      <c r="R67" s="5" t="s">
        <v>1158</v>
      </c>
      <c r="S67" s="8" t="b">
        <f t="shared" si="0"/>
        <v>1</v>
      </c>
    </row>
    <row r="68" spans="1:19" s="5" customFormat="1" ht="42" customHeight="1">
      <c r="A68" s="2">
        <v>66</v>
      </c>
      <c r="B68" s="12">
        <v>2544640389</v>
      </c>
      <c r="C68" s="21">
        <v>250371518102</v>
      </c>
      <c r="D68" s="17">
        <f t="shared" si="1"/>
        <v>250435</v>
      </c>
      <c r="E68" s="22" t="s">
        <v>1159</v>
      </c>
      <c r="F68" s="12" t="s">
        <v>19</v>
      </c>
      <c r="G68" s="14" t="s">
        <v>15</v>
      </c>
      <c r="H68" s="19" t="s">
        <v>34</v>
      </c>
      <c r="I68" s="20" t="s">
        <v>3</v>
      </c>
      <c r="J68" s="20" t="s">
        <v>2</v>
      </c>
      <c r="K68" s="20" t="s">
        <v>3</v>
      </c>
      <c r="L68" s="20" t="s">
        <v>3</v>
      </c>
      <c r="M68" s="20" t="s">
        <v>2</v>
      </c>
      <c r="N68" s="20" t="s">
        <v>4</v>
      </c>
      <c r="O68" s="20" t="s">
        <v>8</v>
      </c>
      <c r="P68" s="11" t="s">
        <v>17</v>
      </c>
      <c r="Q68" s="4">
        <v>8.1666666666666661</v>
      </c>
      <c r="R68" s="5" t="s">
        <v>1159</v>
      </c>
      <c r="S68" s="8" t="b">
        <f t="shared" ref="S68:S103" si="2">R68=E68</f>
        <v>1</v>
      </c>
    </row>
    <row r="69" spans="1:19" s="5" customFormat="1" ht="42" customHeight="1">
      <c r="A69" s="2">
        <v>67</v>
      </c>
      <c r="B69" s="12">
        <v>2544640295</v>
      </c>
      <c r="C69" s="21">
        <v>250371518103</v>
      </c>
      <c r="D69" s="17">
        <f t="shared" ref="D69:D103" si="3">D68+1</f>
        <v>250436</v>
      </c>
      <c r="E69" s="22" t="s">
        <v>1160</v>
      </c>
      <c r="F69" s="12" t="s">
        <v>19</v>
      </c>
      <c r="G69" s="14" t="s">
        <v>15</v>
      </c>
      <c r="H69" s="19" t="s">
        <v>34</v>
      </c>
      <c r="I69" s="20" t="s">
        <v>3</v>
      </c>
      <c r="J69" s="20" t="s">
        <v>8</v>
      </c>
      <c r="K69" s="20" t="s">
        <v>2</v>
      </c>
      <c r="L69" s="20" t="s">
        <v>8</v>
      </c>
      <c r="M69" s="20" t="s">
        <v>8</v>
      </c>
      <c r="N69" s="20" t="s">
        <v>8</v>
      </c>
      <c r="O69" s="20" t="s">
        <v>8</v>
      </c>
      <c r="P69" s="11" t="s">
        <v>17</v>
      </c>
      <c r="Q69" s="4">
        <v>9.4444444444444446</v>
      </c>
      <c r="R69" s="5" t="s">
        <v>1160</v>
      </c>
      <c r="S69" s="8" t="b">
        <f t="shared" si="2"/>
        <v>1</v>
      </c>
    </row>
    <row r="70" spans="1:19" s="5" customFormat="1" ht="42" customHeight="1">
      <c r="A70" s="2">
        <v>68</v>
      </c>
      <c r="B70" s="12">
        <v>2544640239</v>
      </c>
      <c r="C70" s="21">
        <v>250371518104</v>
      </c>
      <c r="D70" s="17">
        <f t="shared" si="3"/>
        <v>250437</v>
      </c>
      <c r="E70" s="22" t="s">
        <v>1161</v>
      </c>
      <c r="F70" s="12" t="s">
        <v>19</v>
      </c>
      <c r="G70" s="14" t="s">
        <v>15</v>
      </c>
      <c r="H70" s="19" t="s">
        <v>34</v>
      </c>
      <c r="I70" s="20" t="s">
        <v>2</v>
      </c>
      <c r="J70" s="20" t="s">
        <v>8</v>
      </c>
      <c r="K70" s="20" t="s">
        <v>2</v>
      </c>
      <c r="L70" s="20" t="s">
        <v>2</v>
      </c>
      <c r="M70" s="20" t="s">
        <v>2</v>
      </c>
      <c r="N70" s="20" t="s">
        <v>4</v>
      </c>
      <c r="O70" s="20" t="s">
        <v>2</v>
      </c>
      <c r="P70" s="11" t="s">
        <v>17</v>
      </c>
      <c r="Q70" s="4">
        <v>8.8333333333333339</v>
      </c>
      <c r="R70" s="5" t="s">
        <v>1161</v>
      </c>
      <c r="S70" s="8" t="b">
        <f t="shared" si="2"/>
        <v>1</v>
      </c>
    </row>
    <row r="71" spans="1:19" s="5" customFormat="1" ht="42" customHeight="1">
      <c r="A71" s="2">
        <v>69</v>
      </c>
      <c r="B71" s="12">
        <v>2544640089</v>
      </c>
      <c r="C71" s="21">
        <v>250371518105</v>
      </c>
      <c r="D71" s="17">
        <f t="shared" si="3"/>
        <v>250438</v>
      </c>
      <c r="E71" s="22" t="s">
        <v>1162</v>
      </c>
      <c r="F71" s="12" t="s">
        <v>19</v>
      </c>
      <c r="G71" s="14" t="s">
        <v>15</v>
      </c>
      <c r="H71" s="19" t="s">
        <v>34</v>
      </c>
      <c r="I71" s="20" t="s">
        <v>4</v>
      </c>
      <c r="J71" s="20" t="s">
        <v>2</v>
      </c>
      <c r="K71" s="20" t="s">
        <v>2</v>
      </c>
      <c r="L71" s="20" t="s">
        <v>4</v>
      </c>
      <c r="M71" s="20" t="s">
        <v>8</v>
      </c>
      <c r="N71" s="20" t="s">
        <v>4</v>
      </c>
      <c r="O71" s="20" t="s">
        <v>8</v>
      </c>
      <c r="P71" s="11" t="s">
        <v>17</v>
      </c>
      <c r="Q71" s="4">
        <v>8.1111111111111107</v>
      </c>
      <c r="R71" s="5" t="s">
        <v>1162</v>
      </c>
      <c r="S71" s="8" t="b">
        <f t="shared" si="2"/>
        <v>1</v>
      </c>
    </row>
    <row r="72" spans="1:19" s="5" customFormat="1" ht="42" customHeight="1">
      <c r="A72" s="2">
        <v>70</v>
      </c>
      <c r="B72" s="12">
        <v>2544640380</v>
      </c>
      <c r="C72" s="21">
        <v>250371518108</v>
      </c>
      <c r="D72" s="17">
        <f t="shared" si="3"/>
        <v>250439</v>
      </c>
      <c r="E72" s="22" t="s">
        <v>1163</v>
      </c>
      <c r="F72" s="12" t="s">
        <v>19</v>
      </c>
      <c r="G72" s="14" t="s">
        <v>15</v>
      </c>
      <c r="H72" s="19" t="s">
        <v>34</v>
      </c>
      <c r="I72" s="20" t="s">
        <v>3</v>
      </c>
      <c r="J72" s="20" t="s">
        <v>8</v>
      </c>
      <c r="K72" s="20" t="s">
        <v>8</v>
      </c>
      <c r="L72" s="20" t="s">
        <v>2</v>
      </c>
      <c r="M72" s="20" t="s">
        <v>2</v>
      </c>
      <c r="N72" s="20" t="s">
        <v>2</v>
      </c>
      <c r="O72" s="20" t="s">
        <v>8</v>
      </c>
      <c r="P72" s="11" t="s">
        <v>17</v>
      </c>
      <c r="Q72" s="4">
        <v>9.2777777777777786</v>
      </c>
      <c r="R72" s="5" t="s">
        <v>1163</v>
      </c>
      <c r="S72" s="8" t="b">
        <f t="shared" si="2"/>
        <v>1</v>
      </c>
    </row>
    <row r="73" spans="1:19" s="5" customFormat="1" ht="42" customHeight="1">
      <c r="A73" s="2">
        <v>71</v>
      </c>
      <c r="B73" s="12">
        <v>2544640205</v>
      </c>
      <c r="C73" s="21">
        <v>250371518109</v>
      </c>
      <c r="D73" s="17">
        <f t="shared" si="3"/>
        <v>250440</v>
      </c>
      <c r="E73" s="22" t="s">
        <v>1164</v>
      </c>
      <c r="F73" s="12" t="s">
        <v>19</v>
      </c>
      <c r="G73" s="14" t="s">
        <v>15</v>
      </c>
      <c r="H73" s="19" t="s">
        <v>34</v>
      </c>
      <c r="I73" s="20" t="s">
        <v>3</v>
      </c>
      <c r="J73" s="20" t="s">
        <v>8</v>
      </c>
      <c r="K73" s="20" t="s">
        <v>2</v>
      </c>
      <c r="L73" s="20" t="s">
        <v>8</v>
      </c>
      <c r="M73" s="20" t="s">
        <v>8</v>
      </c>
      <c r="N73" s="20" t="s">
        <v>2</v>
      </c>
      <c r="O73" s="20" t="s">
        <v>3</v>
      </c>
      <c r="P73" s="11" t="s">
        <v>17</v>
      </c>
      <c r="Q73" s="4">
        <v>9.1666666666666661</v>
      </c>
      <c r="R73" s="5" t="s">
        <v>1164</v>
      </c>
      <c r="S73" s="8" t="b">
        <f t="shared" si="2"/>
        <v>1</v>
      </c>
    </row>
    <row r="74" spans="1:19" s="5" customFormat="1" ht="42" customHeight="1">
      <c r="A74" s="2">
        <v>72</v>
      </c>
      <c r="B74" s="12">
        <v>2544641109</v>
      </c>
      <c r="C74" s="21">
        <v>250371518112</v>
      </c>
      <c r="D74" s="17">
        <f t="shared" si="3"/>
        <v>250441</v>
      </c>
      <c r="E74" s="22" t="s">
        <v>1165</v>
      </c>
      <c r="F74" s="12" t="s">
        <v>19</v>
      </c>
      <c r="G74" s="14" t="s">
        <v>15</v>
      </c>
      <c r="H74" s="19" t="s">
        <v>34</v>
      </c>
      <c r="I74" s="20" t="s">
        <v>4</v>
      </c>
      <c r="J74" s="20" t="s">
        <v>3</v>
      </c>
      <c r="K74" s="20" t="s">
        <v>4</v>
      </c>
      <c r="L74" s="20" t="s">
        <v>4</v>
      </c>
      <c r="M74" s="20" t="s">
        <v>8</v>
      </c>
      <c r="N74" s="20" t="s">
        <v>5</v>
      </c>
      <c r="O74" s="20" t="s">
        <v>2</v>
      </c>
      <c r="P74" s="11" t="s">
        <v>17</v>
      </c>
      <c r="Q74" s="4">
        <v>7.2777777777777777</v>
      </c>
      <c r="R74" s="5" t="s">
        <v>1165</v>
      </c>
      <c r="S74" s="8" t="b">
        <f t="shared" si="2"/>
        <v>1</v>
      </c>
    </row>
    <row r="75" spans="1:19" s="5" customFormat="1" ht="42" customHeight="1">
      <c r="A75" s="2">
        <v>73</v>
      </c>
      <c r="B75" s="12">
        <v>2544641085</v>
      </c>
      <c r="C75" s="21">
        <v>250371518114</v>
      </c>
      <c r="D75" s="17">
        <f t="shared" si="3"/>
        <v>250442</v>
      </c>
      <c r="E75" s="22" t="s">
        <v>1166</v>
      </c>
      <c r="F75" s="12" t="s">
        <v>19</v>
      </c>
      <c r="G75" s="14" t="s">
        <v>15</v>
      </c>
      <c r="H75" s="19" t="s">
        <v>34</v>
      </c>
      <c r="I75" s="20" t="s">
        <v>4</v>
      </c>
      <c r="J75" s="20" t="s">
        <v>3</v>
      </c>
      <c r="K75" s="20" t="s">
        <v>2</v>
      </c>
      <c r="L75" s="20" t="s">
        <v>3</v>
      </c>
      <c r="M75" s="20" t="s">
        <v>8</v>
      </c>
      <c r="N75" s="20" t="s">
        <v>3</v>
      </c>
      <c r="O75" s="20" t="s">
        <v>8</v>
      </c>
      <c r="P75" s="11" t="s">
        <v>17</v>
      </c>
      <c r="Q75" s="4">
        <v>8.2777777777777786</v>
      </c>
      <c r="R75" s="5" t="s">
        <v>1166</v>
      </c>
      <c r="S75" s="8" t="b">
        <f t="shared" si="2"/>
        <v>1</v>
      </c>
    </row>
    <row r="76" spans="1:19" s="5" customFormat="1" ht="42" customHeight="1">
      <c r="A76" s="2">
        <v>74</v>
      </c>
      <c r="B76" s="12">
        <v>2544640041</v>
      </c>
      <c r="C76" s="21">
        <v>250371518115</v>
      </c>
      <c r="D76" s="17">
        <f t="shared" si="3"/>
        <v>250443</v>
      </c>
      <c r="E76" s="22" t="s">
        <v>1167</v>
      </c>
      <c r="F76" s="12" t="s">
        <v>19</v>
      </c>
      <c r="G76" s="14" t="s">
        <v>15</v>
      </c>
      <c r="H76" s="19" t="s">
        <v>34</v>
      </c>
      <c r="I76" s="20" t="s">
        <v>3</v>
      </c>
      <c r="J76" s="20" t="s">
        <v>8</v>
      </c>
      <c r="K76" s="20" t="s">
        <v>2</v>
      </c>
      <c r="L76" s="20" t="s">
        <v>8</v>
      </c>
      <c r="M76" s="20" t="s">
        <v>8</v>
      </c>
      <c r="N76" s="20" t="s">
        <v>8</v>
      </c>
      <c r="O76" s="20" t="s">
        <v>8</v>
      </c>
      <c r="P76" s="11" t="s">
        <v>17</v>
      </c>
      <c r="Q76" s="4">
        <v>9.4444444444444446</v>
      </c>
      <c r="R76" s="5" t="s">
        <v>1167</v>
      </c>
      <c r="S76" s="8" t="b">
        <f t="shared" si="2"/>
        <v>1</v>
      </c>
    </row>
    <row r="77" spans="1:19" s="5" customFormat="1" ht="42" customHeight="1">
      <c r="A77" s="2">
        <v>75</v>
      </c>
      <c r="B77" s="12">
        <v>2544640356</v>
      </c>
      <c r="C77" s="21">
        <v>250371518116</v>
      </c>
      <c r="D77" s="17">
        <f t="shared" si="3"/>
        <v>250444</v>
      </c>
      <c r="E77" s="22" t="s">
        <v>1168</v>
      </c>
      <c r="F77" s="12" t="s">
        <v>19</v>
      </c>
      <c r="G77" s="14" t="s">
        <v>15</v>
      </c>
      <c r="H77" s="19" t="s">
        <v>34</v>
      </c>
      <c r="I77" s="20" t="s">
        <v>4</v>
      </c>
      <c r="J77" s="20" t="s">
        <v>2</v>
      </c>
      <c r="K77" s="20" t="s">
        <v>3</v>
      </c>
      <c r="L77" s="20" t="s">
        <v>3</v>
      </c>
      <c r="M77" s="20" t="s">
        <v>2</v>
      </c>
      <c r="N77" s="20" t="s">
        <v>3</v>
      </c>
      <c r="O77" s="20" t="s">
        <v>4</v>
      </c>
      <c r="P77" s="11" t="s">
        <v>17</v>
      </c>
      <c r="Q77" s="4">
        <v>8</v>
      </c>
      <c r="R77" s="5" t="s">
        <v>1168</v>
      </c>
      <c r="S77" s="8" t="b">
        <f t="shared" si="2"/>
        <v>1</v>
      </c>
    </row>
    <row r="78" spans="1:19" s="5" customFormat="1" ht="42" customHeight="1">
      <c r="A78" s="2">
        <v>76</v>
      </c>
      <c r="B78" s="12">
        <v>2544640224</v>
      </c>
      <c r="C78" s="21">
        <v>250371518117</v>
      </c>
      <c r="D78" s="17">
        <f t="shared" si="3"/>
        <v>250445</v>
      </c>
      <c r="E78" s="22" t="s">
        <v>1169</v>
      </c>
      <c r="F78" s="12" t="s">
        <v>19</v>
      </c>
      <c r="G78" s="14" t="s">
        <v>15</v>
      </c>
      <c r="H78" s="19" t="s">
        <v>34</v>
      </c>
      <c r="I78" s="20" t="s">
        <v>2</v>
      </c>
      <c r="J78" s="20" t="s">
        <v>8</v>
      </c>
      <c r="K78" s="20" t="s">
        <v>2</v>
      </c>
      <c r="L78" s="20" t="s">
        <v>8</v>
      </c>
      <c r="M78" s="20" t="s">
        <v>8</v>
      </c>
      <c r="N78" s="20" t="s">
        <v>8</v>
      </c>
      <c r="O78" s="20" t="s">
        <v>8</v>
      </c>
      <c r="P78" s="11" t="s">
        <v>17</v>
      </c>
      <c r="Q78" s="4">
        <v>9.6111111111111107</v>
      </c>
      <c r="R78" s="5" t="s">
        <v>1169</v>
      </c>
      <c r="S78" s="8" t="b">
        <f t="shared" si="2"/>
        <v>1</v>
      </c>
    </row>
    <row r="79" spans="1:19" s="5" customFormat="1" ht="42" customHeight="1">
      <c r="A79" s="2">
        <v>77</v>
      </c>
      <c r="B79" s="12">
        <v>2544640485</v>
      </c>
      <c r="C79" s="21">
        <v>250371518118</v>
      </c>
      <c r="D79" s="17">
        <f t="shared" si="3"/>
        <v>250446</v>
      </c>
      <c r="E79" s="22" t="s">
        <v>1170</v>
      </c>
      <c r="F79" s="12" t="s">
        <v>19</v>
      </c>
      <c r="G79" s="14" t="s">
        <v>15</v>
      </c>
      <c r="H79" s="19" t="s">
        <v>34</v>
      </c>
      <c r="I79" s="20" t="s">
        <v>3</v>
      </c>
      <c r="J79" s="20" t="s">
        <v>8</v>
      </c>
      <c r="K79" s="20" t="s">
        <v>2</v>
      </c>
      <c r="L79" s="20" t="s">
        <v>2</v>
      </c>
      <c r="M79" s="20" t="s">
        <v>8</v>
      </c>
      <c r="N79" s="20" t="s">
        <v>8</v>
      </c>
      <c r="O79" s="20" t="s">
        <v>8</v>
      </c>
      <c r="P79" s="11" t="s">
        <v>17</v>
      </c>
      <c r="Q79" s="4">
        <v>9.2777777777777786</v>
      </c>
      <c r="R79" s="5" t="s">
        <v>1170</v>
      </c>
      <c r="S79" s="8" t="b">
        <f t="shared" si="2"/>
        <v>1</v>
      </c>
    </row>
    <row r="80" spans="1:19" s="5" customFormat="1" ht="42" customHeight="1">
      <c r="A80" s="2">
        <v>78</v>
      </c>
      <c r="B80" s="12">
        <v>2544640470</v>
      </c>
      <c r="C80" s="21">
        <v>250371518119</v>
      </c>
      <c r="D80" s="17">
        <f t="shared" si="3"/>
        <v>250447</v>
      </c>
      <c r="E80" s="22" t="s">
        <v>1171</v>
      </c>
      <c r="F80" s="12" t="s">
        <v>19</v>
      </c>
      <c r="G80" s="14" t="s">
        <v>15</v>
      </c>
      <c r="H80" s="19" t="s">
        <v>34</v>
      </c>
      <c r="I80" s="20" t="s">
        <v>2</v>
      </c>
      <c r="J80" s="20" t="s">
        <v>2</v>
      </c>
      <c r="K80" s="20" t="s">
        <v>8</v>
      </c>
      <c r="L80" s="20" t="s">
        <v>8</v>
      </c>
      <c r="M80" s="20" t="s">
        <v>2</v>
      </c>
      <c r="N80" s="20" t="s">
        <v>3</v>
      </c>
      <c r="O80" s="20" t="s">
        <v>8</v>
      </c>
      <c r="P80" s="11" t="s">
        <v>17</v>
      </c>
      <c r="Q80" s="4">
        <v>9.2777777777777786</v>
      </c>
      <c r="R80" s="5" t="s">
        <v>1171</v>
      </c>
      <c r="S80" s="8" t="b">
        <f t="shared" si="2"/>
        <v>1</v>
      </c>
    </row>
    <row r="81" spans="1:19" s="5" customFormat="1" ht="42" customHeight="1">
      <c r="A81" s="2">
        <v>79</v>
      </c>
      <c r="B81" s="12">
        <v>2544640446</v>
      </c>
      <c r="C81" s="21">
        <v>250371518120</v>
      </c>
      <c r="D81" s="17">
        <f t="shared" si="3"/>
        <v>250448</v>
      </c>
      <c r="E81" s="22" t="s">
        <v>1172</v>
      </c>
      <c r="F81" s="12" t="s">
        <v>19</v>
      </c>
      <c r="G81" s="14" t="s">
        <v>15</v>
      </c>
      <c r="H81" s="19" t="s">
        <v>34</v>
      </c>
      <c r="I81" s="20" t="s">
        <v>5</v>
      </c>
      <c r="J81" s="20" t="s">
        <v>2</v>
      </c>
      <c r="K81" s="20" t="s">
        <v>4</v>
      </c>
      <c r="L81" s="20" t="s">
        <v>3</v>
      </c>
      <c r="M81" s="20" t="s">
        <v>2</v>
      </c>
      <c r="N81" s="20" t="s">
        <v>4</v>
      </c>
      <c r="O81" s="20" t="s">
        <v>2</v>
      </c>
      <c r="P81" s="11" t="s">
        <v>17</v>
      </c>
      <c r="Q81" s="4">
        <v>7.5555555555555554</v>
      </c>
      <c r="R81" s="5" t="s">
        <v>1172</v>
      </c>
      <c r="S81" s="8" t="b">
        <f t="shared" si="2"/>
        <v>1</v>
      </c>
    </row>
    <row r="82" spans="1:19" s="5" customFormat="1" ht="42" customHeight="1">
      <c r="A82" s="2">
        <v>80</v>
      </c>
      <c r="B82" s="12">
        <v>2544640553</v>
      </c>
      <c r="C82" s="21">
        <v>250371518122</v>
      </c>
      <c r="D82" s="17">
        <f t="shared" si="3"/>
        <v>250449</v>
      </c>
      <c r="E82" s="22" t="s">
        <v>1173</v>
      </c>
      <c r="F82" s="12" t="s">
        <v>19</v>
      </c>
      <c r="G82" s="14" t="s">
        <v>15</v>
      </c>
      <c r="H82" s="19" t="s">
        <v>34</v>
      </c>
      <c r="I82" s="20" t="s">
        <v>4</v>
      </c>
      <c r="J82" s="20" t="s">
        <v>4</v>
      </c>
      <c r="K82" s="20" t="s">
        <v>4</v>
      </c>
      <c r="L82" s="20" t="s">
        <v>2</v>
      </c>
      <c r="M82" s="20" t="s">
        <v>8</v>
      </c>
      <c r="N82" s="20" t="s">
        <v>4</v>
      </c>
      <c r="O82" s="20" t="s">
        <v>8</v>
      </c>
      <c r="P82" s="11" t="s">
        <v>17</v>
      </c>
      <c r="Q82" s="4">
        <v>7.666666666666667</v>
      </c>
      <c r="R82" s="5" t="s">
        <v>1173</v>
      </c>
      <c r="S82" s="8" t="b">
        <f t="shared" si="2"/>
        <v>1</v>
      </c>
    </row>
    <row r="83" spans="1:19" s="5" customFormat="1" ht="42" customHeight="1">
      <c r="A83" s="2">
        <v>81</v>
      </c>
      <c r="B83" s="12">
        <v>2544640379</v>
      </c>
      <c r="C83" s="21">
        <v>250371518123</v>
      </c>
      <c r="D83" s="17">
        <f t="shared" si="3"/>
        <v>250450</v>
      </c>
      <c r="E83" s="22" t="s">
        <v>1174</v>
      </c>
      <c r="F83" s="12" t="s">
        <v>19</v>
      </c>
      <c r="G83" s="14" t="s">
        <v>15</v>
      </c>
      <c r="H83" s="19" t="s">
        <v>34</v>
      </c>
      <c r="I83" s="20" t="s">
        <v>3</v>
      </c>
      <c r="J83" s="20" t="s">
        <v>8</v>
      </c>
      <c r="K83" s="20" t="s">
        <v>3</v>
      </c>
      <c r="L83" s="20" t="s">
        <v>8</v>
      </c>
      <c r="M83" s="20" t="s">
        <v>8</v>
      </c>
      <c r="N83" s="20" t="s">
        <v>8</v>
      </c>
      <c r="O83" s="20" t="s">
        <v>8</v>
      </c>
      <c r="P83" s="11" t="s">
        <v>17</v>
      </c>
      <c r="Q83" s="4">
        <v>9.2222222222222214</v>
      </c>
      <c r="R83" s="5" t="s">
        <v>1174</v>
      </c>
      <c r="S83" s="8" t="b">
        <f t="shared" si="2"/>
        <v>1</v>
      </c>
    </row>
    <row r="84" spans="1:19" s="5" customFormat="1" ht="42" customHeight="1">
      <c r="A84" s="2">
        <v>82</v>
      </c>
      <c r="B84" s="12">
        <v>2544640802</v>
      </c>
      <c r="C84" s="21">
        <v>250371518126</v>
      </c>
      <c r="D84" s="17">
        <f t="shared" si="3"/>
        <v>250451</v>
      </c>
      <c r="E84" s="22" t="s">
        <v>1175</v>
      </c>
      <c r="F84" s="12" t="s">
        <v>19</v>
      </c>
      <c r="G84" s="14" t="s">
        <v>15</v>
      </c>
      <c r="H84" s="19" t="s">
        <v>34</v>
      </c>
      <c r="I84" s="20" t="s">
        <v>3</v>
      </c>
      <c r="J84" s="20" t="s">
        <v>8</v>
      </c>
      <c r="K84" s="20" t="s">
        <v>2</v>
      </c>
      <c r="L84" s="20" t="s">
        <v>8</v>
      </c>
      <c r="M84" s="20" t="s">
        <v>8</v>
      </c>
      <c r="N84" s="20" t="s">
        <v>2</v>
      </c>
      <c r="O84" s="20" t="s">
        <v>2</v>
      </c>
      <c r="P84" s="11" t="s">
        <v>17</v>
      </c>
      <c r="Q84" s="4">
        <v>9.2222222222222214</v>
      </c>
      <c r="R84" s="5" t="s">
        <v>1175</v>
      </c>
      <c r="S84" s="8" t="b">
        <f t="shared" si="2"/>
        <v>1</v>
      </c>
    </row>
    <row r="85" spans="1:19" s="5" customFormat="1" ht="42" customHeight="1">
      <c r="A85" s="2">
        <v>83</v>
      </c>
      <c r="B85" s="12">
        <v>2544640323</v>
      </c>
      <c r="C85" s="21">
        <v>250371518127</v>
      </c>
      <c r="D85" s="17">
        <f t="shared" si="3"/>
        <v>250452</v>
      </c>
      <c r="E85" s="22" t="s">
        <v>1176</v>
      </c>
      <c r="F85" s="12" t="s">
        <v>19</v>
      </c>
      <c r="G85" s="14" t="s">
        <v>15</v>
      </c>
      <c r="H85" s="19" t="s">
        <v>34</v>
      </c>
      <c r="I85" s="20" t="s">
        <v>4</v>
      </c>
      <c r="J85" s="20" t="s">
        <v>3</v>
      </c>
      <c r="K85" s="20" t="s">
        <v>4</v>
      </c>
      <c r="L85" s="20" t="s">
        <v>4</v>
      </c>
      <c r="M85" s="20" t="s">
        <v>8</v>
      </c>
      <c r="N85" s="20" t="s">
        <v>3</v>
      </c>
      <c r="O85" s="20" t="s">
        <v>2</v>
      </c>
      <c r="P85" s="11" t="s">
        <v>17</v>
      </c>
      <c r="Q85" s="4">
        <v>7.6111111111111107</v>
      </c>
      <c r="R85" s="5" t="s">
        <v>1176</v>
      </c>
      <c r="S85" s="8" t="b">
        <f t="shared" si="2"/>
        <v>1</v>
      </c>
    </row>
    <row r="86" spans="1:19" s="5" customFormat="1" ht="42" customHeight="1">
      <c r="A86" s="2">
        <v>84</v>
      </c>
      <c r="B86" s="12">
        <v>2544640850</v>
      </c>
      <c r="C86" s="21">
        <v>250371518129</v>
      </c>
      <c r="D86" s="17">
        <f t="shared" si="3"/>
        <v>250453</v>
      </c>
      <c r="E86" s="22" t="s">
        <v>1177</v>
      </c>
      <c r="F86" s="12" t="s">
        <v>19</v>
      </c>
      <c r="G86" s="14" t="s">
        <v>15</v>
      </c>
      <c r="H86" s="19" t="s">
        <v>34</v>
      </c>
      <c r="I86" s="20" t="s">
        <v>4</v>
      </c>
      <c r="J86" s="20" t="s">
        <v>4</v>
      </c>
      <c r="K86" s="20" t="s">
        <v>5</v>
      </c>
      <c r="L86" s="20" t="s">
        <v>4</v>
      </c>
      <c r="M86" s="20" t="s">
        <v>2</v>
      </c>
      <c r="N86" s="20" t="s">
        <v>5</v>
      </c>
      <c r="O86" s="20" t="s">
        <v>3</v>
      </c>
      <c r="P86" s="11" t="s">
        <v>17</v>
      </c>
      <c r="Q86" s="4">
        <v>6.7777777777777777</v>
      </c>
      <c r="R86" s="5" t="s">
        <v>1177</v>
      </c>
      <c r="S86" s="8" t="b">
        <f t="shared" si="2"/>
        <v>1</v>
      </c>
    </row>
    <row r="87" spans="1:19" s="5" customFormat="1" ht="42" customHeight="1">
      <c r="A87" s="2">
        <v>85</v>
      </c>
      <c r="B87" s="12">
        <v>2544640194</v>
      </c>
      <c r="C87" s="21">
        <v>250371518130</v>
      </c>
      <c r="D87" s="17">
        <f t="shared" si="3"/>
        <v>250454</v>
      </c>
      <c r="E87" s="22" t="s">
        <v>1178</v>
      </c>
      <c r="F87" s="12" t="s">
        <v>19</v>
      </c>
      <c r="G87" s="14" t="s">
        <v>15</v>
      </c>
      <c r="H87" s="19" t="s">
        <v>34</v>
      </c>
      <c r="I87" s="20" t="s">
        <v>3</v>
      </c>
      <c r="J87" s="20" t="s">
        <v>6</v>
      </c>
      <c r="K87" s="20" t="s">
        <v>5</v>
      </c>
      <c r="L87" s="20" t="s">
        <v>3</v>
      </c>
      <c r="M87" s="20" t="s">
        <v>8</v>
      </c>
      <c r="N87" s="20" t="s">
        <v>5</v>
      </c>
      <c r="O87" s="20" t="s">
        <v>2</v>
      </c>
      <c r="P87" s="11" t="s">
        <v>17</v>
      </c>
      <c r="Q87" s="4">
        <v>6.8888888888888893</v>
      </c>
      <c r="R87" s="5" t="s">
        <v>1178</v>
      </c>
      <c r="S87" s="8" t="b">
        <f t="shared" si="2"/>
        <v>1</v>
      </c>
    </row>
    <row r="88" spans="1:19" s="5" customFormat="1" ht="42" customHeight="1">
      <c r="A88" s="2">
        <v>86</v>
      </c>
      <c r="B88" s="12">
        <v>2544640099</v>
      </c>
      <c r="C88" s="21">
        <v>250371518131</v>
      </c>
      <c r="D88" s="17">
        <f t="shared" si="3"/>
        <v>250455</v>
      </c>
      <c r="E88" s="22" t="s">
        <v>1179</v>
      </c>
      <c r="F88" s="12" t="s">
        <v>19</v>
      </c>
      <c r="G88" s="14" t="s">
        <v>15</v>
      </c>
      <c r="H88" s="19" t="s">
        <v>34</v>
      </c>
      <c r="I88" s="20" t="s">
        <v>3</v>
      </c>
      <c r="J88" s="20" t="s">
        <v>8</v>
      </c>
      <c r="K88" s="20" t="s">
        <v>3</v>
      </c>
      <c r="L88" s="20" t="s">
        <v>2</v>
      </c>
      <c r="M88" s="20" t="s">
        <v>8</v>
      </c>
      <c r="N88" s="20" t="s">
        <v>3</v>
      </c>
      <c r="O88" s="20" t="s">
        <v>8</v>
      </c>
      <c r="P88" s="11" t="s">
        <v>17</v>
      </c>
      <c r="Q88" s="4">
        <v>8.7222222222222214</v>
      </c>
      <c r="R88" s="5" t="s">
        <v>1179</v>
      </c>
      <c r="S88" s="8" t="b">
        <f t="shared" si="2"/>
        <v>1</v>
      </c>
    </row>
    <row r="89" spans="1:19" s="5" customFormat="1" ht="42" customHeight="1">
      <c r="A89" s="2">
        <v>87</v>
      </c>
      <c r="B89" s="12">
        <v>2544640025</v>
      </c>
      <c r="C89" s="21">
        <v>250371518132</v>
      </c>
      <c r="D89" s="17">
        <f t="shared" si="3"/>
        <v>250456</v>
      </c>
      <c r="E89" s="22" t="s">
        <v>1180</v>
      </c>
      <c r="F89" s="12" t="s">
        <v>19</v>
      </c>
      <c r="G89" s="14" t="s">
        <v>15</v>
      </c>
      <c r="H89" s="19" t="s">
        <v>34</v>
      </c>
      <c r="I89" s="20" t="s">
        <v>3</v>
      </c>
      <c r="J89" s="20" t="s">
        <v>4</v>
      </c>
      <c r="K89" s="20" t="s">
        <v>5</v>
      </c>
      <c r="L89" s="20" t="s">
        <v>4</v>
      </c>
      <c r="M89" s="20" t="s">
        <v>8</v>
      </c>
      <c r="N89" s="20" t="s">
        <v>7</v>
      </c>
      <c r="O89" s="20" t="s">
        <v>3</v>
      </c>
      <c r="P89" s="11" t="s">
        <v>7</v>
      </c>
      <c r="Q89" s="4">
        <v>0</v>
      </c>
      <c r="R89" s="5" t="s">
        <v>1180</v>
      </c>
      <c r="S89" s="8" t="b">
        <f t="shared" si="2"/>
        <v>1</v>
      </c>
    </row>
    <row r="90" spans="1:19" s="5" customFormat="1" ht="42" customHeight="1">
      <c r="A90" s="2">
        <v>88</v>
      </c>
      <c r="B90" s="12">
        <v>2544641091</v>
      </c>
      <c r="C90" s="21">
        <v>250371518134</v>
      </c>
      <c r="D90" s="17">
        <f t="shared" si="3"/>
        <v>250457</v>
      </c>
      <c r="E90" s="22" t="s">
        <v>1181</v>
      </c>
      <c r="F90" s="12" t="s">
        <v>19</v>
      </c>
      <c r="G90" s="14" t="s">
        <v>15</v>
      </c>
      <c r="H90" s="19" t="s">
        <v>34</v>
      </c>
      <c r="I90" s="20" t="s">
        <v>3</v>
      </c>
      <c r="J90" s="20" t="s">
        <v>2</v>
      </c>
      <c r="K90" s="20" t="s">
        <v>3</v>
      </c>
      <c r="L90" s="20" t="s">
        <v>2</v>
      </c>
      <c r="M90" s="20" t="s">
        <v>8</v>
      </c>
      <c r="N90" s="20" t="s">
        <v>5</v>
      </c>
      <c r="O90" s="20" t="s">
        <v>8</v>
      </c>
      <c r="P90" s="11" t="s">
        <v>17</v>
      </c>
      <c r="Q90" s="4">
        <v>8.2222222222222214</v>
      </c>
      <c r="R90" s="5" t="s">
        <v>1181</v>
      </c>
      <c r="S90" s="8" t="b">
        <f t="shared" si="2"/>
        <v>1</v>
      </c>
    </row>
    <row r="91" spans="1:19" s="5" customFormat="1" ht="42" customHeight="1">
      <c r="A91" s="2">
        <v>89</v>
      </c>
      <c r="B91" s="12">
        <v>2544640376</v>
      </c>
      <c r="C91" s="21">
        <v>250371518135</v>
      </c>
      <c r="D91" s="17">
        <f t="shared" si="3"/>
        <v>250458</v>
      </c>
      <c r="E91" s="22" t="s">
        <v>1182</v>
      </c>
      <c r="F91" s="12" t="s">
        <v>19</v>
      </c>
      <c r="G91" s="14" t="s">
        <v>15</v>
      </c>
      <c r="H91" s="19" t="s">
        <v>34</v>
      </c>
      <c r="I91" s="20" t="s">
        <v>3</v>
      </c>
      <c r="J91" s="20" t="s">
        <v>8</v>
      </c>
      <c r="K91" s="20" t="s">
        <v>3</v>
      </c>
      <c r="L91" s="20" t="s">
        <v>2</v>
      </c>
      <c r="M91" s="20" t="s">
        <v>8</v>
      </c>
      <c r="N91" s="20" t="s">
        <v>3</v>
      </c>
      <c r="O91" s="20" t="s">
        <v>8</v>
      </c>
      <c r="P91" s="11" t="s">
        <v>17</v>
      </c>
      <c r="Q91" s="4">
        <v>8.7222222222222214</v>
      </c>
      <c r="R91" s="5" t="s">
        <v>1182</v>
      </c>
      <c r="S91" s="8" t="b">
        <f t="shared" si="2"/>
        <v>1</v>
      </c>
    </row>
    <row r="92" spans="1:19" s="5" customFormat="1" ht="42" customHeight="1">
      <c r="A92" s="2">
        <v>90</v>
      </c>
      <c r="B92" s="12">
        <v>2544640250</v>
      </c>
      <c r="C92" s="21">
        <v>250371518136</v>
      </c>
      <c r="D92" s="17">
        <f t="shared" si="3"/>
        <v>250459</v>
      </c>
      <c r="E92" s="22" t="s">
        <v>1183</v>
      </c>
      <c r="F92" s="12" t="s">
        <v>19</v>
      </c>
      <c r="G92" s="14" t="s">
        <v>15</v>
      </c>
      <c r="H92" s="19" t="s">
        <v>34</v>
      </c>
      <c r="I92" s="20" t="s">
        <v>3</v>
      </c>
      <c r="J92" s="20" t="s">
        <v>2</v>
      </c>
      <c r="K92" s="20" t="s">
        <v>3</v>
      </c>
      <c r="L92" s="20" t="s">
        <v>3</v>
      </c>
      <c r="M92" s="20" t="s">
        <v>8</v>
      </c>
      <c r="N92" s="20" t="s">
        <v>3</v>
      </c>
      <c r="O92" s="20" t="s">
        <v>2</v>
      </c>
      <c r="P92" s="11" t="s">
        <v>17</v>
      </c>
      <c r="Q92" s="4">
        <v>8.3333333333333339</v>
      </c>
      <c r="R92" s="5" t="s">
        <v>1183</v>
      </c>
      <c r="S92" s="8" t="b">
        <f t="shared" si="2"/>
        <v>1</v>
      </c>
    </row>
    <row r="93" spans="1:19" s="5" customFormat="1" ht="42" customHeight="1">
      <c r="A93" s="2">
        <v>91</v>
      </c>
      <c r="B93" s="12">
        <v>2544640141</v>
      </c>
      <c r="C93" s="21">
        <v>250371518137</v>
      </c>
      <c r="D93" s="17">
        <f t="shared" si="3"/>
        <v>250460</v>
      </c>
      <c r="E93" s="22" t="s">
        <v>1184</v>
      </c>
      <c r="F93" s="12" t="s">
        <v>19</v>
      </c>
      <c r="G93" s="14" t="s">
        <v>15</v>
      </c>
      <c r="H93" s="19" t="s">
        <v>34</v>
      </c>
      <c r="I93" s="20" t="s">
        <v>2</v>
      </c>
      <c r="J93" s="20" t="s">
        <v>8</v>
      </c>
      <c r="K93" s="20" t="s">
        <v>8</v>
      </c>
      <c r="L93" s="20" t="s">
        <v>3</v>
      </c>
      <c r="M93" s="20" t="s">
        <v>8</v>
      </c>
      <c r="N93" s="20" t="s">
        <v>8</v>
      </c>
      <c r="O93" s="20" t="s">
        <v>3</v>
      </c>
      <c r="P93" s="11" t="s">
        <v>17</v>
      </c>
      <c r="Q93" s="4">
        <v>9.3888888888888893</v>
      </c>
      <c r="R93" s="5" t="s">
        <v>1184</v>
      </c>
      <c r="S93" s="8" t="b">
        <f t="shared" si="2"/>
        <v>1</v>
      </c>
    </row>
    <row r="94" spans="1:19" s="5" customFormat="1" ht="42" customHeight="1">
      <c r="A94" s="2">
        <v>92</v>
      </c>
      <c r="B94" s="12">
        <v>2544640793</v>
      </c>
      <c r="C94" s="21">
        <v>250371518141</v>
      </c>
      <c r="D94" s="17">
        <f t="shared" si="3"/>
        <v>250461</v>
      </c>
      <c r="E94" s="22" t="s">
        <v>1185</v>
      </c>
      <c r="F94" s="12" t="s">
        <v>19</v>
      </c>
      <c r="G94" s="14" t="s">
        <v>15</v>
      </c>
      <c r="H94" s="19" t="s">
        <v>34</v>
      </c>
      <c r="I94" s="20" t="s">
        <v>3</v>
      </c>
      <c r="J94" s="20" t="s">
        <v>3</v>
      </c>
      <c r="K94" s="20" t="s">
        <v>4</v>
      </c>
      <c r="L94" s="20" t="s">
        <v>4</v>
      </c>
      <c r="M94" s="20" t="s">
        <v>2</v>
      </c>
      <c r="N94" s="20" t="s">
        <v>5</v>
      </c>
      <c r="O94" s="20" t="s">
        <v>4</v>
      </c>
      <c r="P94" s="11" t="s">
        <v>17</v>
      </c>
      <c r="Q94" s="4">
        <v>7.2777777777777777</v>
      </c>
      <c r="R94" s="5" t="s">
        <v>1185</v>
      </c>
      <c r="S94" s="8" t="b">
        <f t="shared" si="2"/>
        <v>1</v>
      </c>
    </row>
    <row r="95" spans="1:19" s="5" customFormat="1" ht="42" customHeight="1">
      <c r="A95" s="2">
        <v>93</v>
      </c>
      <c r="B95" s="12">
        <v>2544641068</v>
      </c>
      <c r="C95" s="21">
        <v>250371518142</v>
      </c>
      <c r="D95" s="17">
        <f t="shared" si="3"/>
        <v>250462</v>
      </c>
      <c r="E95" s="22" t="s">
        <v>1186</v>
      </c>
      <c r="F95" s="12" t="s">
        <v>19</v>
      </c>
      <c r="G95" s="14" t="s">
        <v>15</v>
      </c>
      <c r="H95" s="19" t="s">
        <v>34</v>
      </c>
      <c r="I95" s="20" t="s">
        <v>2</v>
      </c>
      <c r="J95" s="20" t="s">
        <v>8</v>
      </c>
      <c r="K95" s="20" t="s">
        <v>4</v>
      </c>
      <c r="L95" s="20" t="s">
        <v>3</v>
      </c>
      <c r="M95" s="20" t="s">
        <v>8</v>
      </c>
      <c r="N95" s="20" t="s">
        <v>3</v>
      </c>
      <c r="O95" s="20" t="s">
        <v>2</v>
      </c>
      <c r="P95" s="11" t="s">
        <v>17</v>
      </c>
      <c r="Q95" s="4">
        <v>8.4444444444444446</v>
      </c>
      <c r="R95" s="5" t="s">
        <v>1186</v>
      </c>
      <c r="S95" s="8" t="b">
        <f t="shared" si="2"/>
        <v>1</v>
      </c>
    </row>
    <row r="96" spans="1:19" s="5" customFormat="1" ht="42" customHeight="1">
      <c r="A96" s="2">
        <v>94</v>
      </c>
      <c r="B96" s="12">
        <v>2544640982</v>
      </c>
      <c r="C96" s="21">
        <v>250371518143</v>
      </c>
      <c r="D96" s="17">
        <f t="shared" si="3"/>
        <v>250463</v>
      </c>
      <c r="E96" s="22" t="s">
        <v>1187</v>
      </c>
      <c r="F96" s="12" t="s">
        <v>19</v>
      </c>
      <c r="G96" s="14" t="s">
        <v>15</v>
      </c>
      <c r="H96" s="19" t="s">
        <v>34</v>
      </c>
      <c r="I96" s="20" t="s">
        <v>3</v>
      </c>
      <c r="J96" s="20" t="s">
        <v>3</v>
      </c>
      <c r="K96" s="20" t="s">
        <v>3</v>
      </c>
      <c r="L96" s="20" t="s">
        <v>2</v>
      </c>
      <c r="M96" s="20" t="s">
        <v>8</v>
      </c>
      <c r="N96" s="20" t="s">
        <v>2</v>
      </c>
      <c r="O96" s="20" t="s">
        <v>8</v>
      </c>
      <c r="P96" s="11" t="s">
        <v>17</v>
      </c>
      <c r="Q96" s="4">
        <v>8.5555555555555554</v>
      </c>
      <c r="R96" s="5" t="s">
        <v>1187</v>
      </c>
      <c r="S96" s="8" t="b">
        <f t="shared" si="2"/>
        <v>1</v>
      </c>
    </row>
    <row r="97" spans="1:19" s="5" customFormat="1" ht="42" customHeight="1">
      <c r="A97" s="2">
        <v>95</v>
      </c>
      <c r="B97" s="12">
        <v>2544640463</v>
      </c>
      <c r="C97" s="21">
        <v>250371518144</v>
      </c>
      <c r="D97" s="17">
        <f t="shared" si="3"/>
        <v>250464</v>
      </c>
      <c r="E97" s="22" t="s">
        <v>1188</v>
      </c>
      <c r="F97" s="12" t="s">
        <v>19</v>
      </c>
      <c r="G97" s="14" t="s">
        <v>15</v>
      </c>
      <c r="H97" s="19" t="s">
        <v>34</v>
      </c>
      <c r="I97" s="20" t="s">
        <v>2</v>
      </c>
      <c r="J97" s="20" t="s">
        <v>8</v>
      </c>
      <c r="K97" s="20" t="s">
        <v>2</v>
      </c>
      <c r="L97" s="20" t="s">
        <v>8</v>
      </c>
      <c r="M97" s="20" t="s">
        <v>8</v>
      </c>
      <c r="N97" s="20" t="s">
        <v>8</v>
      </c>
      <c r="O97" s="20" t="s">
        <v>8</v>
      </c>
      <c r="P97" s="11" t="s">
        <v>17</v>
      </c>
      <c r="Q97" s="4">
        <v>9.6111111111111107</v>
      </c>
      <c r="R97" s="5" t="s">
        <v>1188</v>
      </c>
      <c r="S97" s="8" t="b">
        <f t="shared" si="2"/>
        <v>1</v>
      </c>
    </row>
    <row r="98" spans="1:19" s="5" customFormat="1" ht="42" customHeight="1">
      <c r="A98" s="2">
        <v>96</v>
      </c>
      <c r="B98" s="12">
        <v>2544641051</v>
      </c>
      <c r="C98" s="21">
        <v>250371518145</v>
      </c>
      <c r="D98" s="17">
        <f t="shared" si="3"/>
        <v>250465</v>
      </c>
      <c r="E98" s="22" t="s">
        <v>1189</v>
      </c>
      <c r="F98" s="12" t="s">
        <v>19</v>
      </c>
      <c r="G98" s="14" t="s">
        <v>15</v>
      </c>
      <c r="H98" s="19" t="s">
        <v>34</v>
      </c>
      <c r="I98" s="20" t="s">
        <v>3</v>
      </c>
      <c r="J98" s="20" t="s">
        <v>8</v>
      </c>
      <c r="K98" s="20" t="s">
        <v>3</v>
      </c>
      <c r="L98" s="20" t="s">
        <v>3</v>
      </c>
      <c r="M98" s="20" t="s">
        <v>8</v>
      </c>
      <c r="N98" s="20" t="s">
        <v>2</v>
      </c>
      <c r="O98" s="20" t="s">
        <v>8</v>
      </c>
      <c r="P98" s="11" t="s">
        <v>17</v>
      </c>
      <c r="Q98" s="4">
        <v>8.7222222222222214</v>
      </c>
      <c r="R98" s="5" t="s">
        <v>1189</v>
      </c>
      <c r="S98" s="8" t="b">
        <f t="shared" si="2"/>
        <v>1</v>
      </c>
    </row>
    <row r="99" spans="1:19" s="5" customFormat="1" ht="42" customHeight="1">
      <c r="A99" s="2">
        <v>97</v>
      </c>
      <c r="B99" s="12">
        <v>2544640531</v>
      </c>
      <c r="C99" s="21">
        <v>250371518147</v>
      </c>
      <c r="D99" s="17">
        <f t="shared" si="3"/>
        <v>250466</v>
      </c>
      <c r="E99" s="22" t="s">
        <v>1190</v>
      </c>
      <c r="F99" s="12" t="s">
        <v>19</v>
      </c>
      <c r="G99" s="14" t="s">
        <v>15</v>
      </c>
      <c r="H99" s="19" t="s">
        <v>34</v>
      </c>
      <c r="I99" s="20" t="s">
        <v>3</v>
      </c>
      <c r="J99" s="20" t="s">
        <v>8</v>
      </c>
      <c r="K99" s="20" t="s">
        <v>8</v>
      </c>
      <c r="L99" s="20" t="s">
        <v>8</v>
      </c>
      <c r="M99" s="20" t="s">
        <v>8</v>
      </c>
      <c r="N99" s="20" t="s">
        <v>2</v>
      </c>
      <c r="O99" s="20" t="s">
        <v>2</v>
      </c>
      <c r="P99" s="11" t="s">
        <v>17</v>
      </c>
      <c r="Q99" s="4">
        <v>9.4444444444444446</v>
      </c>
      <c r="R99" s="5" t="s">
        <v>1190</v>
      </c>
      <c r="S99" s="8" t="b">
        <f t="shared" si="2"/>
        <v>1</v>
      </c>
    </row>
    <row r="100" spans="1:19" s="5" customFormat="1" ht="42" customHeight="1">
      <c r="A100" s="2">
        <v>98</v>
      </c>
      <c r="B100" s="12">
        <v>2544640834</v>
      </c>
      <c r="C100" s="21">
        <v>250371518148</v>
      </c>
      <c r="D100" s="17">
        <f t="shared" si="3"/>
        <v>250467</v>
      </c>
      <c r="E100" s="22" t="s">
        <v>1191</v>
      </c>
      <c r="F100" s="12" t="s">
        <v>19</v>
      </c>
      <c r="G100" s="14" t="s">
        <v>15</v>
      </c>
      <c r="H100" s="19" t="s">
        <v>34</v>
      </c>
      <c r="I100" s="20" t="s">
        <v>3</v>
      </c>
      <c r="J100" s="20" t="s">
        <v>3</v>
      </c>
      <c r="K100" s="20" t="s">
        <v>5</v>
      </c>
      <c r="L100" s="20" t="s">
        <v>3</v>
      </c>
      <c r="M100" s="20" t="s">
        <v>8</v>
      </c>
      <c r="N100" s="20" t="s">
        <v>4</v>
      </c>
      <c r="O100" s="20" t="s">
        <v>2</v>
      </c>
      <c r="P100" s="11" t="s">
        <v>17</v>
      </c>
      <c r="Q100" s="4">
        <v>7.5555555555555554</v>
      </c>
      <c r="R100" s="5" t="s">
        <v>1191</v>
      </c>
      <c r="S100" s="8" t="b">
        <f t="shared" si="2"/>
        <v>1</v>
      </c>
    </row>
    <row r="101" spans="1:19" s="5" customFormat="1" ht="42" customHeight="1">
      <c r="A101" s="2">
        <v>99</v>
      </c>
      <c r="B101" s="12">
        <v>2544640971</v>
      </c>
      <c r="C101" s="21">
        <v>250371518150</v>
      </c>
      <c r="D101" s="17">
        <f t="shared" si="3"/>
        <v>250468</v>
      </c>
      <c r="E101" s="22" t="s">
        <v>1192</v>
      </c>
      <c r="F101" s="12" t="s">
        <v>19</v>
      </c>
      <c r="G101" s="14" t="s">
        <v>15</v>
      </c>
      <c r="H101" s="19" t="s">
        <v>34</v>
      </c>
      <c r="I101" s="20" t="s">
        <v>2</v>
      </c>
      <c r="J101" s="20" t="s">
        <v>8</v>
      </c>
      <c r="K101" s="20" t="s">
        <v>3</v>
      </c>
      <c r="L101" s="20" t="s">
        <v>3</v>
      </c>
      <c r="M101" s="20" t="s">
        <v>8</v>
      </c>
      <c r="N101" s="20" t="s">
        <v>2</v>
      </c>
      <c r="O101" s="20" t="s">
        <v>8</v>
      </c>
      <c r="P101" s="11" t="s">
        <v>17</v>
      </c>
      <c r="Q101" s="4">
        <v>8.8888888888888893</v>
      </c>
      <c r="R101" s="5" t="s">
        <v>1192</v>
      </c>
      <c r="S101" s="8" t="b">
        <f t="shared" si="2"/>
        <v>1</v>
      </c>
    </row>
    <row r="102" spans="1:19" s="5" customFormat="1" ht="42" customHeight="1">
      <c r="A102" s="2">
        <v>100</v>
      </c>
      <c r="B102" s="12">
        <v>2544641076</v>
      </c>
      <c r="C102" s="21">
        <v>250371518151</v>
      </c>
      <c r="D102" s="17">
        <f t="shared" si="3"/>
        <v>250469</v>
      </c>
      <c r="E102" s="22" t="s">
        <v>1193</v>
      </c>
      <c r="F102" s="12" t="s">
        <v>19</v>
      </c>
      <c r="G102" s="14" t="s">
        <v>15</v>
      </c>
      <c r="H102" s="19" t="s">
        <v>34</v>
      </c>
      <c r="I102" s="20" t="s">
        <v>3</v>
      </c>
      <c r="J102" s="20" t="s">
        <v>2</v>
      </c>
      <c r="K102" s="20" t="s">
        <v>6</v>
      </c>
      <c r="L102" s="20" t="s">
        <v>4</v>
      </c>
      <c r="M102" s="20" t="s">
        <v>8</v>
      </c>
      <c r="N102" s="20" t="s">
        <v>4</v>
      </c>
      <c r="O102" s="20" t="s">
        <v>8</v>
      </c>
      <c r="P102" s="11" t="s">
        <v>17</v>
      </c>
      <c r="Q102" s="4">
        <v>7.3888888888888893</v>
      </c>
      <c r="R102" s="5" t="s">
        <v>1193</v>
      </c>
      <c r="S102" s="8" t="b">
        <f t="shared" si="2"/>
        <v>1</v>
      </c>
    </row>
    <row r="103" spans="1:19" s="5" customFormat="1" ht="42" customHeight="1">
      <c r="A103" s="2">
        <v>101</v>
      </c>
      <c r="B103" s="12">
        <v>2544640290</v>
      </c>
      <c r="C103" s="21">
        <v>250371518153</v>
      </c>
      <c r="D103" s="17">
        <f t="shared" si="3"/>
        <v>250470</v>
      </c>
      <c r="E103" s="22" t="s">
        <v>1194</v>
      </c>
      <c r="F103" s="12" t="s">
        <v>19</v>
      </c>
      <c r="G103" s="14" t="s">
        <v>15</v>
      </c>
      <c r="H103" s="19" t="s">
        <v>34</v>
      </c>
      <c r="I103" s="20" t="s">
        <v>4</v>
      </c>
      <c r="J103" s="20" t="s">
        <v>2</v>
      </c>
      <c r="K103" s="20" t="s">
        <v>5</v>
      </c>
      <c r="L103" s="20" t="s">
        <v>4</v>
      </c>
      <c r="M103" s="20" t="s">
        <v>3</v>
      </c>
      <c r="N103" s="20" t="s">
        <v>3</v>
      </c>
      <c r="O103" s="20" t="s">
        <v>2</v>
      </c>
      <c r="P103" s="11" t="s">
        <v>17</v>
      </c>
      <c r="Q103" s="4">
        <v>7.4444444444444446</v>
      </c>
      <c r="R103" s="5" t="s">
        <v>1194</v>
      </c>
      <c r="S103" s="8" t="b">
        <f t="shared" si="2"/>
        <v>1</v>
      </c>
    </row>
  </sheetData>
  <autoFilter ref="A2:S2"/>
  <mergeCells count="8">
    <mergeCell ref="H1:H2"/>
    <mergeCell ref="Q1:Q2"/>
    <mergeCell ref="A1:A2"/>
    <mergeCell ref="B1:B2"/>
    <mergeCell ref="C1:C2"/>
    <mergeCell ref="E1:E2"/>
    <mergeCell ref="F1:F2"/>
    <mergeCell ref="G1:G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0B050"/>
  </sheetPr>
  <dimension ref="A1:S54"/>
  <sheetViews>
    <sheetView topLeftCell="A49" zoomScale="85" zoomScaleNormal="85" workbookViewId="0">
      <selection activeCell="F10" sqref="F10"/>
    </sheetView>
  </sheetViews>
  <sheetFormatPr defaultRowHeight="15"/>
  <cols>
    <col min="1" max="1" width="6.5703125" style="6" bestFit="1" customWidth="1"/>
    <col min="2" max="2" width="16.28515625" style="6" customWidth="1"/>
    <col min="3" max="4" width="21" style="6" customWidth="1"/>
    <col min="5" max="5" width="44.5703125" style="6" customWidth="1"/>
    <col min="6" max="6" width="12.140625" style="9" customWidth="1"/>
    <col min="7" max="8" width="13.42578125" style="6" customWidth="1"/>
    <col min="9" max="9" width="17.85546875" style="6" customWidth="1"/>
    <col min="10" max="10" width="18.5703125" style="6" customWidth="1"/>
    <col min="11" max="11" width="18.85546875" style="6" customWidth="1"/>
    <col min="12" max="16" width="17.85546875" style="6" customWidth="1"/>
    <col min="17" max="17" width="9.140625" style="7" customWidth="1"/>
    <col min="18" max="18" width="56.140625" style="6" customWidth="1"/>
    <col min="19" max="16384" width="9.140625" style="6"/>
  </cols>
  <sheetData>
    <row r="1" spans="1:19" s="8" customFormat="1" ht="127.5" customHeight="1">
      <c r="A1" s="53" t="s">
        <v>1</v>
      </c>
      <c r="B1" s="53" t="s">
        <v>16</v>
      </c>
      <c r="C1" s="53" t="s">
        <v>12</v>
      </c>
      <c r="D1" s="47" t="s">
        <v>1520</v>
      </c>
      <c r="E1" s="53" t="s">
        <v>13</v>
      </c>
      <c r="F1" s="53" t="s">
        <v>14</v>
      </c>
      <c r="G1" s="53" t="s">
        <v>0</v>
      </c>
      <c r="H1" s="53" t="s">
        <v>31</v>
      </c>
      <c r="I1" s="1" t="s">
        <v>78</v>
      </c>
      <c r="J1" s="1" t="s">
        <v>83</v>
      </c>
      <c r="K1" s="1" t="s">
        <v>80</v>
      </c>
      <c r="L1" s="1" t="s">
        <v>391</v>
      </c>
      <c r="M1" s="1" t="s">
        <v>393</v>
      </c>
      <c r="N1" s="1" t="s">
        <v>392</v>
      </c>
      <c r="O1" s="1" t="s">
        <v>394</v>
      </c>
      <c r="P1" s="1" t="s">
        <v>10</v>
      </c>
      <c r="Q1" s="55" t="s">
        <v>9</v>
      </c>
    </row>
    <row r="2" spans="1:19" s="8" customFormat="1" ht="29.25" customHeight="1">
      <c r="A2" s="54"/>
      <c r="B2" s="54"/>
      <c r="C2" s="54"/>
      <c r="D2" s="48"/>
      <c r="E2" s="54"/>
      <c r="F2" s="54"/>
      <c r="G2" s="54"/>
      <c r="H2" s="54"/>
      <c r="I2" s="10">
        <v>3</v>
      </c>
      <c r="J2" s="10">
        <v>3</v>
      </c>
      <c r="K2" s="10">
        <v>4</v>
      </c>
      <c r="L2" s="10">
        <v>3</v>
      </c>
      <c r="M2" s="10">
        <v>1</v>
      </c>
      <c r="N2" s="10">
        <v>3</v>
      </c>
      <c r="O2" s="10">
        <v>1</v>
      </c>
      <c r="P2" s="10">
        <f>SUM(I2:O2)</f>
        <v>18</v>
      </c>
      <c r="Q2" s="56"/>
      <c r="R2" s="8" t="s">
        <v>1542</v>
      </c>
      <c r="S2" s="8" t="s">
        <v>1543</v>
      </c>
    </row>
    <row r="3" spans="1:19" s="5" customFormat="1" ht="42" customHeight="1">
      <c r="A3" s="2">
        <v>1</v>
      </c>
      <c r="B3" s="12">
        <v>2544640643</v>
      </c>
      <c r="C3" s="21">
        <v>250371518007</v>
      </c>
      <c r="D3" s="17">
        <v>250471</v>
      </c>
      <c r="E3" s="22" t="s">
        <v>1195</v>
      </c>
      <c r="F3" s="12" t="s">
        <v>19</v>
      </c>
      <c r="G3" s="14" t="s">
        <v>15</v>
      </c>
      <c r="H3" s="19" t="s">
        <v>85</v>
      </c>
      <c r="I3" s="20" t="s">
        <v>6</v>
      </c>
      <c r="J3" s="20" t="s">
        <v>7</v>
      </c>
      <c r="K3" s="20" t="s">
        <v>6</v>
      </c>
      <c r="L3" s="20" t="s">
        <v>4</v>
      </c>
      <c r="M3" s="20" t="s">
        <v>2</v>
      </c>
      <c r="N3" s="20" t="s">
        <v>5</v>
      </c>
      <c r="O3" s="20" t="s">
        <v>4</v>
      </c>
      <c r="P3" s="11" t="s">
        <v>7</v>
      </c>
      <c r="Q3" s="4">
        <v>0</v>
      </c>
      <c r="R3" s="5" t="s">
        <v>1195</v>
      </c>
      <c r="S3" s="5" t="b">
        <f>R3=E3</f>
        <v>1</v>
      </c>
    </row>
    <row r="4" spans="1:19" s="5" customFormat="1" ht="42" customHeight="1">
      <c r="A4" s="2">
        <v>2</v>
      </c>
      <c r="B4" s="12">
        <v>2544640229</v>
      </c>
      <c r="C4" s="21">
        <v>250371518008</v>
      </c>
      <c r="D4" s="17">
        <f>D3+1</f>
        <v>250472</v>
      </c>
      <c r="E4" s="22" t="s">
        <v>1196</v>
      </c>
      <c r="F4" s="12" t="s">
        <v>19</v>
      </c>
      <c r="G4" s="14" t="s">
        <v>15</v>
      </c>
      <c r="H4" s="19" t="s">
        <v>85</v>
      </c>
      <c r="I4" s="20" t="s">
        <v>4</v>
      </c>
      <c r="J4" s="20" t="s">
        <v>6</v>
      </c>
      <c r="K4" s="20" t="s">
        <v>6</v>
      </c>
      <c r="L4" s="20" t="s">
        <v>3</v>
      </c>
      <c r="M4" s="20" t="s">
        <v>2</v>
      </c>
      <c r="N4" s="20" t="s">
        <v>4</v>
      </c>
      <c r="O4" s="20" t="s">
        <v>2</v>
      </c>
      <c r="P4" s="11" t="s">
        <v>17</v>
      </c>
      <c r="Q4" s="4">
        <v>6.6111111111111107</v>
      </c>
      <c r="R4" s="5" t="s">
        <v>1196</v>
      </c>
      <c r="S4" s="5" t="b">
        <f t="shared" ref="S4:S54" si="0">R4=E4</f>
        <v>1</v>
      </c>
    </row>
    <row r="5" spans="1:19" s="5" customFormat="1" ht="42" customHeight="1">
      <c r="A5" s="2">
        <v>3</v>
      </c>
      <c r="B5" s="12">
        <v>2544641052</v>
      </c>
      <c r="C5" s="21">
        <v>250371518009</v>
      </c>
      <c r="D5" s="17">
        <f t="shared" ref="D5:D54" si="1">D4+1</f>
        <v>250473</v>
      </c>
      <c r="E5" s="22" t="s">
        <v>1197</v>
      </c>
      <c r="F5" s="12" t="s">
        <v>19</v>
      </c>
      <c r="G5" s="14" t="s">
        <v>15</v>
      </c>
      <c r="H5" s="19" t="s">
        <v>85</v>
      </c>
      <c r="I5" s="20" t="s">
        <v>3</v>
      </c>
      <c r="J5" s="20" t="s">
        <v>11</v>
      </c>
      <c r="K5" s="20" t="s">
        <v>5</v>
      </c>
      <c r="L5" s="20" t="s">
        <v>3</v>
      </c>
      <c r="M5" s="20" t="s">
        <v>8</v>
      </c>
      <c r="N5" s="20" t="s">
        <v>4</v>
      </c>
      <c r="O5" s="20" t="s">
        <v>8</v>
      </c>
      <c r="P5" s="11" t="s">
        <v>17</v>
      </c>
      <c r="Q5" s="4">
        <v>6.9444444444444446</v>
      </c>
      <c r="R5" s="5" t="s">
        <v>1197</v>
      </c>
      <c r="S5" s="5" t="b">
        <f t="shared" si="0"/>
        <v>1</v>
      </c>
    </row>
    <row r="6" spans="1:19" s="5" customFormat="1" ht="42" customHeight="1">
      <c r="A6" s="2">
        <v>4</v>
      </c>
      <c r="B6" s="12">
        <v>2544640770</v>
      </c>
      <c r="C6" s="21">
        <v>250371518010</v>
      </c>
      <c r="D6" s="17">
        <f t="shared" si="1"/>
        <v>250474</v>
      </c>
      <c r="E6" s="22" t="s">
        <v>1198</v>
      </c>
      <c r="F6" s="12" t="s">
        <v>19</v>
      </c>
      <c r="G6" s="14" t="s">
        <v>15</v>
      </c>
      <c r="H6" s="19" t="s">
        <v>85</v>
      </c>
      <c r="I6" s="20" t="s">
        <v>4</v>
      </c>
      <c r="J6" s="20" t="s">
        <v>4</v>
      </c>
      <c r="K6" s="20" t="s">
        <v>5</v>
      </c>
      <c r="L6" s="20" t="s">
        <v>4</v>
      </c>
      <c r="M6" s="20" t="s">
        <v>8</v>
      </c>
      <c r="N6" s="20" t="s">
        <v>5</v>
      </c>
      <c r="O6" s="20" t="s">
        <v>8</v>
      </c>
      <c r="P6" s="11" t="s">
        <v>17</v>
      </c>
      <c r="Q6" s="4">
        <v>6.9444444444444446</v>
      </c>
      <c r="R6" s="5" t="s">
        <v>1198</v>
      </c>
      <c r="S6" s="5" t="b">
        <f t="shared" si="0"/>
        <v>1</v>
      </c>
    </row>
    <row r="7" spans="1:19" s="5" customFormat="1" ht="42" customHeight="1">
      <c r="A7" s="2">
        <v>5</v>
      </c>
      <c r="B7" s="12">
        <v>2544640512</v>
      </c>
      <c r="C7" s="21">
        <v>250371518013</v>
      </c>
      <c r="D7" s="17">
        <f t="shared" si="1"/>
        <v>250475</v>
      </c>
      <c r="E7" s="22" t="s">
        <v>1199</v>
      </c>
      <c r="F7" s="12" t="s">
        <v>19</v>
      </c>
      <c r="G7" s="14" t="s">
        <v>15</v>
      </c>
      <c r="H7" s="19" t="s">
        <v>85</v>
      </c>
      <c r="I7" s="20" t="s">
        <v>3</v>
      </c>
      <c r="J7" s="20" t="s">
        <v>3</v>
      </c>
      <c r="K7" s="20" t="s">
        <v>4</v>
      </c>
      <c r="L7" s="20" t="s">
        <v>2</v>
      </c>
      <c r="M7" s="20" t="s">
        <v>2</v>
      </c>
      <c r="N7" s="20" t="s">
        <v>3</v>
      </c>
      <c r="O7" s="20" t="s">
        <v>8</v>
      </c>
      <c r="P7" s="11" t="s">
        <v>17</v>
      </c>
      <c r="Q7" s="4">
        <v>8.1111111111111107</v>
      </c>
      <c r="R7" s="5" t="s">
        <v>1199</v>
      </c>
      <c r="S7" s="5" t="b">
        <f t="shared" si="0"/>
        <v>1</v>
      </c>
    </row>
    <row r="8" spans="1:19" s="5" customFormat="1" ht="42" customHeight="1">
      <c r="A8" s="2">
        <v>6</v>
      </c>
      <c r="B8" s="12">
        <v>2544640541</v>
      </c>
      <c r="C8" s="21">
        <v>250371518016</v>
      </c>
      <c r="D8" s="17">
        <f t="shared" si="1"/>
        <v>250476</v>
      </c>
      <c r="E8" s="22" t="s">
        <v>1200</v>
      </c>
      <c r="F8" s="12" t="s">
        <v>19</v>
      </c>
      <c r="G8" s="14" t="s">
        <v>15</v>
      </c>
      <c r="H8" s="19" t="s">
        <v>85</v>
      </c>
      <c r="I8" s="20" t="s">
        <v>7</v>
      </c>
      <c r="J8" s="20" t="s">
        <v>6</v>
      </c>
      <c r="K8" s="20" t="s">
        <v>7</v>
      </c>
      <c r="L8" s="20" t="s">
        <v>5</v>
      </c>
      <c r="M8" s="20" t="s">
        <v>2</v>
      </c>
      <c r="N8" s="20" t="s">
        <v>5</v>
      </c>
      <c r="O8" s="20" t="s">
        <v>3</v>
      </c>
      <c r="P8" s="11" t="s">
        <v>7</v>
      </c>
      <c r="Q8" s="4">
        <v>0</v>
      </c>
      <c r="R8" s="5" t="s">
        <v>1200</v>
      </c>
      <c r="S8" s="5" t="b">
        <f t="shared" si="0"/>
        <v>1</v>
      </c>
    </row>
    <row r="9" spans="1:19" s="5" customFormat="1" ht="42" customHeight="1">
      <c r="A9" s="2">
        <v>7</v>
      </c>
      <c r="B9" s="12">
        <v>2544640407</v>
      </c>
      <c r="C9" s="21">
        <v>250371518021</v>
      </c>
      <c r="D9" s="17">
        <f t="shared" si="1"/>
        <v>250477</v>
      </c>
      <c r="E9" s="22" t="s">
        <v>1201</v>
      </c>
      <c r="F9" s="12" t="s">
        <v>19</v>
      </c>
      <c r="G9" s="14" t="s">
        <v>15</v>
      </c>
      <c r="H9" s="19" t="s">
        <v>85</v>
      </c>
      <c r="I9" s="20" t="s">
        <v>4</v>
      </c>
      <c r="J9" s="20" t="s">
        <v>4</v>
      </c>
      <c r="K9" s="20" t="s">
        <v>3</v>
      </c>
      <c r="L9" s="20" t="s">
        <v>2</v>
      </c>
      <c r="M9" s="20" t="s">
        <v>8</v>
      </c>
      <c r="N9" s="20" t="s">
        <v>2</v>
      </c>
      <c r="O9" s="20" t="s">
        <v>8</v>
      </c>
      <c r="P9" s="11" t="s">
        <v>17</v>
      </c>
      <c r="Q9" s="4">
        <v>8.2222222222222214</v>
      </c>
      <c r="R9" s="5" t="s">
        <v>1201</v>
      </c>
      <c r="S9" s="5" t="b">
        <f t="shared" si="0"/>
        <v>1</v>
      </c>
    </row>
    <row r="10" spans="1:19" s="5" customFormat="1" ht="42" customHeight="1">
      <c r="A10" s="2">
        <v>8</v>
      </c>
      <c r="B10" s="12">
        <v>2544640642</v>
      </c>
      <c r="C10" s="21">
        <v>250371518026</v>
      </c>
      <c r="D10" s="17">
        <f t="shared" si="1"/>
        <v>250478</v>
      </c>
      <c r="E10" s="22" t="s">
        <v>1202</v>
      </c>
      <c r="F10" s="12" t="s">
        <v>19</v>
      </c>
      <c r="G10" s="14" t="s">
        <v>15</v>
      </c>
      <c r="H10" s="19" t="s">
        <v>85</v>
      </c>
      <c r="I10" s="20" t="s">
        <v>3</v>
      </c>
      <c r="J10" s="20" t="s">
        <v>4</v>
      </c>
      <c r="K10" s="20" t="s">
        <v>8</v>
      </c>
      <c r="L10" s="20" t="s">
        <v>8</v>
      </c>
      <c r="M10" s="20" t="s">
        <v>8</v>
      </c>
      <c r="N10" s="20" t="s">
        <v>8</v>
      </c>
      <c r="O10" s="20" t="s">
        <v>8</v>
      </c>
      <c r="P10" s="11" t="s">
        <v>17</v>
      </c>
      <c r="Q10" s="4">
        <v>9.1666666666666661</v>
      </c>
      <c r="R10" s="5" t="s">
        <v>1202</v>
      </c>
      <c r="S10" s="5" t="b">
        <f t="shared" si="0"/>
        <v>1</v>
      </c>
    </row>
    <row r="11" spans="1:19" s="5" customFormat="1" ht="42" customHeight="1">
      <c r="A11" s="2">
        <v>9</v>
      </c>
      <c r="B11" s="12">
        <v>2544640673</v>
      </c>
      <c r="C11" s="21">
        <v>250371518027</v>
      </c>
      <c r="D11" s="17">
        <f t="shared" si="1"/>
        <v>250479</v>
      </c>
      <c r="E11" s="22" t="s">
        <v>1203</v>
      </c>
      <c r="F11" s="12" t="s">
        <v>19</v>
      </c>
      <c r="G11" s="14" t="s">
        <v>15</v>
      </c>
      <c r="H11" s="19" t="s">
        <v>85</v>
      </c>
      <c r="I11" s="20" t="s">
        <v>4</v>
      </c>
      <c r="J11" s="20" t="s">
        <v>4</v>
      </c>
      <c r="K11" s="20" t="s">
        <v>4</v>
      </c>
      <c r="L11" s="20" t="s">
        <v>5</v>
      </c>
      <c r="M11" s="20" t="s">
        <v>8</v>
      </c>
      <c r="N11" s="20" t="s">
        <v>4</v>
      </c>
      <c r="O11" s="20" t="s">
        <v>3</v>
      </c>
      <c r="P11" s="11" t="s">
        <v>17</v>
      </c>
      <c r="Q11" s="4">
        <v>7.0555555555555554</v>
      </c>
      <c r="R11" s="5" t="s">
        <v>1203</v>
      </c>
      <c r="S11" s="5" t="b">
        <f t="shared" si="0"/>
        <v>1</v>
      </c>
    </row>
    <row r="12" spans="1:19" s="5" customFormat="1" ht="42" customHeight="1">
      <c r="A12" s="2">
        <v>10</v>
      </c>
      <c r="B12" s="12">
        <v>2544640294</v>
      </c>
      <c r="C12" s="21">
        <v>250371518029</v>
      </c>
      <c r="D12" s="17">
        <f t="shared" si="1"/>
        <v>250480</v>
      </c>
      <c r="E12" s="22" t="s">
        <v>1204</v>
      </c>
      <c r="F12" s="12" t="s">
        <v>19</v>
      </c>
      <c r="G12" s="14" t="s">
        <v>15</v>
      </c>
      <c r="H12" s="19" t="s">
        <v>85</v>
      </c>
      <c r="I12" s="20" t="s">
        <v>4</v>
      </c>
      <c r="J12" s="20" t="s">
        <v>1517</v>
      </c>
      <c r="K12" s="20" t="s">
        <v>5</v>
      </c>
      <c r="L12" s="20" t="s">
        <v>4</v>
      </c>
      <c r="M12" s="20" t="s">
        <v>8</v>
      </c>
      <c r="N12" s="20" t="s">
        <v>3</v>
      </c>
      <c r="O12" s="20" t="s">
        <v>2</v>
      </c>
      <c r="P12" s="11" t="s">
        <v>1517</v>
      </c>
      <c r="Q12" s="4">
        <v>0</v>
      </c>
      <c r="R12" s="5" t="s">
        <v>1204</v>
      </c>
      <c r="S12" s="5" t="b">
        <f t="shared" si="0"/>
        <v>1</v>
      </c>
    </row>
    <row r="13" spans="1:19" s="5" customFormat="1" ht="42" customHeight="1">
      <c r="A13" s="2">
        <v>11</v>
      </c>
      <c r="B13" s="12">
        <v>2544640253</v>
      </c>
      <c r="C13" s="21">
        <v>250371518030</v>
      </c>
      <c r="D13" s="17">
        <f t="shared" si="1"/>
        <v>250481</v>
      </c>
      <c r="E13" s="22" t="s">
        <v>1205</v>
      </c>
      <c r="F13" s="12" t="s">
        <v>19</v>
      </c>
      <c r="G13" s="14" t="s">
        <v>15</v>
      </c>
      <c r="H13" s="19" t="s">
        <v>85</v>
      </c>
      <c r="I13" s="20" t="s">
        <v>4</v>
      </c>
      <c r="J13" s="20" t="s">
        <v>5</v>
      </c>
      <c r="K13" s="20" t="s">
        <v>6</v>
      </c>
      <c r="L13" s="20" t="s">
        <v>4</v>
      </c>
      <c r="M13" s="20" t="s">
        <v>2</v>
      </c>
      <c r="N13" s="20" t="s">
        <v>5</v>
      </c>
      <c r="O13" s="20" t="s">
        <v>2</v>
      </c>
      <c r="P13" s="11" t="s">
        <v>17</v>
      </c>
      <c r="Q13" s="4">
        <v>6.4444444444444446</v>
      </c>
      <c r="R13" s="5" t="s">
        <v>1205</v>
      </c>
      <c r="S13" s="5" t="b">
        <f t="shared" si="0"/>
        <v>1</v>
      </c>
    </row>
    <row r="14" spans="1:19" s="5" customFormat="1" ht="42" customHeight="1">
      <c r="A14" s="2">
        <v>12</v>
      </c>
      <c r="B14" s="12">
        <v>2544640803</v>
      </c>
      <c r="C14" s="21">
        <v>250371518031</v>
      </c>
      <c r="D14" s="17">
        <f t="shared" si="1"/>
        <v>250482</v>
      </c>
      <c r="E14" s="22" t="s">
        <v>1206</v>
      </c>
      <c r="F14" s="12" t="s">
        <v>19</v>
      </c>
      <c r="G14" s="14" t="s">
        <v>15</v>
      </c>
      <c r="H14" s="19" t="s">
        <v>85</v>
      </c>
      <c r="I14" s="20" t="s">
        <v>3</v>
      </c>
      <c r="J14" s="20" t="s">
        <v>3</v>
      </c>
      <c r="K14" s="20" t="s">
        <v>4</v>
      </c>
      <c r="L14" s="20" t="s">
        <v>2</v>
      </c>
      <c r="M14" s="20" t="s">
        <v>8</v>
      </c>
      <c r="N14" s="20" t="s">
        <v>4</v>
      </c>
      <c r="O14" s="20" t="s">
        <v>2</v>
      </c>
      <c r="P14" s="11" t="s">
        <v>17</v>
      </c>
      <c r="Q14" s="4">
        <v>7.9444444444444446</v>
      </c>
      <c r="R14" s="5" t="s">
        <v>1206</v>
      </c>
      <c r="S14" s="5" t="b">
        <f t="shared" si="0"/>
        <v>1</v>
      </c>
    </row>
    <row r="15" spans="1:19" s="5" customFormat="1" ht="42" customHeight="1">
      <c r="A15" s="2">
        <v>13</v>
      </c>
      <c r="B15" s="12">
        <v>2544640402</v>
      </c>
      <c r="C15" s="21">
        <v>250371518032</v>
      </c>
      <c r="D15" s="17">
        <f t="shared" si="1"/>
        <v>250483</v>
      </c>
      <c r="E15" s="22" t="s">
        <v>1207</v>
      </c>
      <c r="F15" s="12" t="s">
        <v>19</v>
      </c>
      <c r="G15" s="14" t="s">
        <v>15</v>
      </c>
      <c r="H15" s="19" t="s">
        <v>85</v>
      </c>
      <c r="I15" s="20" t="s">
        <v>4</v>
      </c>
      <c r="J15" s="20" t="s">
        <v>6</v>
      </c>
      <c r="K15" s="20" t="s">
        <v>6</v>
      </c>
      <c r="L15" s="20" t="s">
        <v>4</v>
      </c>
      <c r="M15" s="20" t="s">
        <v>3</v>
      </c>
      <c r="N15" s="20" t="s">
        <v>3</v>
      </c>
      <c r="O15" s="20" t="s">
        <v>3</v>
      </c>
      <c r="P15" s="11" t="s">
        <v>17</v>
      </c>
      <c r="Q15" s="4">
        <v>6.5</v>
      </c>
      <c r="R15" s="5" t="s">
        <v>1207</v>
      </c>
      <c r="S15" s="5" t="b">
        <f t="shared" si="0"/>
        <v>1</v>
      </c>
    </row>
    <row r="16" spans="1:19" s="5" customFormat="1" ht="42" customHeight="1">
      <c r="A16" s="2">
        <v>14</v>
      </c>
      <c r="B16" s="12">
        <v>2544640613</v>
      </c>
      <c r="C16" s="21">
        <v>250371518033</v>
      </c>
      <c r="D16" s="17">
        <f t="shared" si="1"/>
        <v>250484</v>
      </c>
      <c r="E16" s="22" t="s">
        <v>1208</v>
      </c>
      <c r="F16" s="12" t="s">
        <v>19</v>
      </c>
      <c r="G16" s="14" t="s">
        <v>15</v>
      </c>
      <c r="H16" s="19" t="s">
        <v>85</v>
      </c>
      <c r="I16" s="20" t="s">
        <v>2</v>
      </c>
      <c r="J16" s="20" t="s">
        <v>8</v>
      </c>
      <c r="K16" s="20" t="s">
        <v>2</v>
      </c>
      <c r="L16" s="20" t="s">
        <v>2</v>
      </c>
      <c r="M16" s="20" t="s">
        <v>8</v>
      </c>
      <c r="N16" s="20" t="s">
        <v>2</v>
      </c>
      <c r="O16" s="20" t="s">
        <v>8</v>
      </c>
      <c r="P16" s="11" t="s">
        <v>17</v>
      </c>
      <c r="Q16" s="4">
        <v>9.2777777777777786</v>
      </c>
      <c r="R16" s="5" t="s">
        <v>1208</v>
      </c>
      <c r="S16" s="5" t="b">
        <f t="shared" si="0"/>
        <v>1</v>
      </c>
    </row>
    <row r="17" spans="1:19" s="5" customFormat="1" ht="42" customHeight="1">
      <c r="A17" s="2">
        <v>15</v>
      </c>
      <c r="B17" s="12">
        <v>2544640521</v>
      </c>
      <c r="C17" s="21">
        <v>250371518034</v>
      </c>
      <c r="D17" s="17">
        <f t="shared" si="1"/>
        <v>250485</v>
      </c>
      <c r="E17" s="22" t="s">
        <v>1209</v>
      </c>
      <c r="F17" s="12" t="s">
        <v>19</v>
      </c>
      <c r="G17" s="14" t="s">
        <v>15</v>
      </c>
      <c r="H17" s="19" t="s">
        <v>85</v>
      </c>
      <c r="I17" s="20" t="s">
        <v>4</v>
      </c>
      <c r="J17" s="20" t="s">
        <v>4</v>
      </c>
      <c r="K17" s="20" t="s">
        <v>5</v>
      </c>
      <c r="L17" s="20" t="s">
        <v>3</v>
      </c>
      <c r="M17" s="20" t="s">
        <v>8</v>
      </c>
      <c r="N17" s="20" t="s">
        <v>3</v>
      </c>
      <c r="O17" s="20" t="s">
        <v>8</v>
      </c>
      <c r="P17" s="11" t="s">
        <v>17</v>
      </c>
      <c r="Q17" s="4">
        <v>7.4444444444444446</v>
      </c>
      <c r="R17" s="5" t="s">
        <v>1209</v>
      </c>
      <c r="S17" s="5" t="b">
        <f t="shared" si="0"/>
        <v>1</v>
      </c>
    </row>
    <row r="18" spans="1:19" s="5" customFormat="1" ht="42" customHeight="1">
      <c r="A18" s="2">
        <v>16</v>
      </c>
      <c r="B18" s="12">
        <v>2544640873</v>
      </c>
      <c r="C18" s="21">
        <v>250371518038</v>
      </c>
      <c r="D18" s="17">
        <f t="shared" si="1"/>
        <v>250486</v>
      </c>
      <c r="E18" s="22" t="s">
        <v>1210</v>
      </c>
      <c r="F18" s="12" t="s">
        <v>19</v>
      </c>
      <c r="G18" s="14" t="s">
        <v>15</v>
      </c>
      <c r="H18" s="19" t="s">
        <v>85</v>
      </c>
      <c r="I18" s="20" t="s">
        <v>4</v>
      </c>
      <c r="J18" s="20" t="s">
        <v>4</v>
      </c>
      <c r="K18" s="20" t="s">
        <v>6</v>
      </c>
      <c r="L18" s="20" t="s">
        <v>4</v>
      </c>
      <c r="M18" s="20" t="s">
        <v>2</v>
      </c>
      <c r="N18" s="20" t="s">
        <v>5</v>
      </c>
      <c r="O18" s="20" t="s">
        <v>8</v>
      </c>
      <c r="P18" s="11" t="s">
        <v>17</v>
      </c>
      <c r="Q18" s="4">
        <v>6.666666666666667</v>
      </c>
      <c r="R18" s="5" t="s">
        <v>1210</v>
      </c>
      <c r="S18" s="5" t="b">
        <f t="shared" si="0"/>
        <v>1</v>
      </c>
    </row>
    <row r="19" spans="1:19" s="5" customFormat="1" ht="42" customHeight="1">
      <c r="A19" s="2">
        <v>17</v>
      </c>
      <c r="B19" s="12">
        <v>2544640156</v>
      </c>
      <c r="C19" s="21">
        <v>250371518039</v>
      </c>
      <c r="D19" s="17">
        <f t="shared" si="1"/>
        <v>250487</v>
      </c>
      <c r="E19" s="22" t="s">
        <v>1211</v>
      </c>
      <c r="F19" s="12" t="s">
        <v>19</v>
      </c>
      <c r="G19" s="14" t="s">
        <v>15</v>
      </c>
      <c r="H19" s="19" t="s">
        <v>85</v>
      </c>
      <c r="I19" s="20" t="s">
        <v>4</v>
      </c>
      <c r="J19" s="20" t="s">
        <v>3</v>
      </c>
      <c r="K19" s="20" t="s">
        <v>2</v>
      </c>
      <c r="L19" s="20" t="s">
        <v>8</v>
      </c>
      <c r="M19" s="20" t="s">
        <v>8</v>
      </c>
      <c r="N19" s="20" t="s">
        <v>2</v>
      </c>
      <c r="O19" s="20" t="s">
        <v>3</v>
      </c>
      <c r="P19" s="11" t="s">
        <v>17</v>
      </c>
      <c r="Q19" s="4">
        <v>8.6666666666666661</v>
      </c>
      <c r="R19" s="5" t="s">
        <v>1211</v>
      </c>
      <c r="S19" s="5" t="b">
        <f t="shared" si="0"/>
        <v>1</v>
      </c>
    </row>
    <row r="20" spans="1:19" s="5" customFormat="1" ht="42" customHeight="1">
      <c r="A20" s="2">
        <v>18</v>
      </c>
      <c r="B20" s="12">
        <v>2544640759</v>
      </c>
      <c r="C20" s="21">
        <v>250371518041</v>
      </c>
      <c r="D20" s="17">
        <f t="shared" si="1"/>
        <v>250488</v>
      </c>
      <c r="E20" s="22" t="s">
        <v>1212</v>
      </c>
      <c r="F20" s="12" t="s">
        <v>19</v>
      </c>
      <c r="G20" s="14" t="s">
        <v>15</v>
      </c>
      <c r="H20" s="19" t="s">
        <v>85</v>
      </c>
      <c r="I20" s="20" t="s">
        <v>3</v>
      </c>
      <c r="J20" s="20" t="s">
        <v>11</v>
      </c>
      <c r="K20" s="20" t="s">
        <v>4</v>
      </c>
      <c r="L20" s="20" t="s">
        <v>3</v>
      </c>
      <c r="M20" s="20" t="s">
        <v>2</v>
      </c>
      <c r="N20" s="20" t="s">
        <v>4</v>
      </c>
      <c r="O20" s="20" t="s">
        <v>3</v>
      </c>
      <c r="P20" s="11" t="s">
        <v>17</v>
      </c>
      <c r="Q20" s="4">
        <v>7</v>
      </c>
      <c r="R20" s="5" t="s">
        <v>1212</v>
      </c>
      <c r="S20" s="5" t="b">
        <f t="shared" si="0"/>
        <v>1</v>
      </c>
    </row>
    <row r="21" spans="1:19" s="5" customFormat="1" ht="42" customHeight="1">
      <c r="A21" s="2">
        <v>19</v>
      </c>
      <c r="B21" s="12">
        <v>2544640760</v>
      </c>
      <c r="C21" s="21">
        <v>250371518042</v>
      </c>
      <c r="D21" s="17">
        <f t="shared" si="1"/>
        <v>250489</v>
      </c>
      <c r="E21" s="22" t="s">
        <v>1213</v>
      </c>
      <c r="F21" s="12" t="s">
        <v>19</v>
      </c>
      <c r="G21" s="14" t="s">
        <v>15</v>
      </c>
      <c r="H21" s="19" t="s">
        <v>85</v>
      </c>
      <c r="I21" s="20" t="s">
        <v>4</v>
      </c>
      <c r="J21" s="20" t="s">
        <v>5</v>
      </c>
      <c r="K21" s="20" t="s">
        <v>5</v>
      </c>
      <c r="L21" s="20" t="s">
        <v>4</v>
      </c>
      <c r="M21" s="20" t="s">
        <v>2</v>
      </c>
      <c r="N21" s="20" t="s">
        <v>4</v>
      </c>
      <c r="O21" s="20" t="s">
        <v>8</v>
      </c>
      <c r="P21" s="11" t="s">
        <v>17</v>
      </c>
      <c r="Q21" s="4">
        <v>6.8888888888888893</v>
      </c>
      <c r="R21" s="5" t="s">
        <v>1213</v>
      </c>
      <c r="S21" s="5" t="b">
        <f t="shared" si="0"/>
        <v>1</v>
      </c>
    </row>
    <row r="22" spans="1:19" s="5" customFormat="1" ht="42" customHeight="1">
      <c r="A22" s="2">
        <v>20</v>
      </c>
      <c r="B22" s="12">
        <v>2544640899</v>
      </c>
      <c r="C22" s="21">
        <v>250371518049</v>
      </c>
      <c r="D22" s="17">
        <f t="shared" si="1"/>
        <v>250490</v>
      </c>
      <c r="E22" s="22" t="s">
        <v>1214</v>
      </c>
      <c r="F22" s="12" t="s">
        <v>19</v>
      </c>
      <c r="G22" s="14" t="s">
        <v>15</v>
      </c>
      <c r="H22" s="19" t="s">
        <v>85</v>
      </c>
      <c r="I22" s="20" t="s">
        <v>4</v>
      </c>
      <c r="J22" s="20" t="s">
        <v>3</v>
      </c>
      <c r="K22" s="20" t="s">
        <v>5</v>
      </c>
      <c r="L22" s="20" t="s">
        <v>2</v>
      </c>
      <c r="M22" s="20" t="s">
        <v>2</v>
      </c>
      <c r="N22" s="20" t="s">
        <v>5</v>
      </c>
      <c r="O22" s="20" t="s">
        <v>8</v>
      </c>
      <c r="P22" s="11" t="s">
        <v>17</v>
      </c>
      <c r="Q22" s="4">
        <v>7.3888888888888893</v>
      </c>
      <c r="R22" s="5" t="s">
        <v>1214</v>
      </c>
      <c r="S22" s="5" t="b">
        <f t="shared" si="0"/>
        <v>1</v>
      </c>
    </row>
    <row r="23" spans="1:19" s="5" customFormat="1" ht="42" customHeight="1">
      <c r="A23" s="2">
        <v>21</v>
      </c>
      <c r="B23" s="12">
        <v>2544640454</v>
      </c>
      <c r="C23" s="21">
        <v>250371518050</v>
      </c>
      <c r="D23" s="17">
        <f t="shared" si="1"/>
        <v>250491</v>
      </c>
      <c r="E23" s="22" t="s">
        <v>1215</v>
      </c>
      <c r="F23" s="12" t="s">
        <v>19</v>
      </c>
      <c r="G23" s="14" t="s">
        <v>15</v>
      </c>
      <c r="H23" s="19" t="s">
        <v>85</v>
      </c>
      <c r="I23" s="20" t="s">
        <v>4</v>
      </c>
      <c r="J23" s="20" t="s">
        <v>4</v>
      </c>
      <c r="K23" s="20" t="s">
        <v>4</v>
      </c>
      <c r="L23" s="20" t="s">
        <v>4</v>
      </c>
      <c r="M23" s="20" t="s">
        <v>2</v>
      </c>
      <c r="N23" s="20" t="s">
        <v>3</v>
      </c>
      <c r="O23" s="20" t="s">
        <v>8</v>
      </c>
      <c r="P23" s="11" t="s">
        <v>17</v>
      </c>
      <c r="Q23" s="4">
        <v>7.4444444444444446</v>
      </c>
      <c r="R23" s="5" t="s">
        <v>1215</v>
      </c>
      <c r="S23" s="5" t="b">
        <f t="shared" si="0"/>
        <v>1</v>
      </c>
    </row>
    <row r="24" spans="1:19" s="5" customFormat="1" ht="42" customHeight="1">
      <c r="A24" s="2">
        <v>22</v>
      </c>
      <c r="B24" s="12">
        <v>2544640762</v>
      </c>
      <c r="C24" s="21">
        <v>250371518055</v>
      </c>
      <c r="D24" s="17">
        <f t="shared" si="1"/>
        <v>250492</v>
      </c>
      <c r="E24" s="22" t="s">
        <v>1216</v>
      </c>
      <c r="F24" s="12" t="s">
        <v>19</v>
      </c>
      <c r="G24" s="14" t="s">
        <v>15</v>
      </c>
      <c r="H24" s="19" t="s">
        <v>85</v>
      </c>
      <c r="I24" s="20" t="s">
        <v>4</v>
      </c>
      <c r="J24" s="20" t="s">
        <v>6</v>
      </c>
      <c r="K24" s="20" t="s">
        <v>6</v>
      </c>
      <c r="L24" s="20" t="s">
        <v>4</v>
      </c>
      <c r="M24" s="20" t="s">
        <v>8</v>
      </c>
      <c r="N24" s="20" t="s">
        <v>4</v>
      </c>
      <c r="O24" s="20" t="s">
        <v>2</v>
      </c>
      <c r="P24" s="11" t="s">
        <v>17</v>
      </c>
      <c r="Q24" s="4">
        <v>6.5</v>
      </c>
      <c r="R24" s="5" t="s">
        <v>1216</v>
      </c>
      <c r="S24" s="5" t="b">
        <f t="shared" si="0"/>
        <v>1</v>
      </c>
    </row>
    <row r="25" spans="1:19" s="5" customFormat="1" ht="42" customHeight="1">
      <c r="A25" s="2">
        <v>23</v>
      </c>
      <c r="B25" s="12">
        <v>2544641041</v>
      </c>
      <c r="C25" s="21">
        <v>250371518059</v>
      </c>
      <c r="D25" s="17">
        <f t="shared" si="1"/>
        <v>250493</v>
      </c>
      <c r="E25" s="22" t="s">
        <v>1217</v>
      </c>
      <c r="F25" s="12" t="s">
        <v>19</v>
      </c>
      <c r="G25" s="14" t="s">
        <v>15</v>
      </c>
      <c r="H25" s="19" t="s">
        <v>85</v>
      </c>
      <c r="I25" s="20" t="s">
        <v>3</v>
      </c>
      <c r="J25" s="20" t="s">
        <v>2</v>
      </c>
      <c r="K25" s="20" t="s">
        <v>3</v>
      </c>
      <c r="L25" s="20" t="s">
        <v>3</v>
      </c>
      <c r="M25" s="20" t="s">
        <v>8</v>
      </c>
      <c r="N25" s="20" t="s">
        <v>2</v>
      </c>
      <c r="O25" s="20" t="s">
        <v>8</v>
      </c>
      <c r="P25" s="11" t="s">
        <v>17</v>
      </c>
      <c r="Q25" s="4">
        <v>8.5555555555555554</v>
      </c>
      <c r="R25" s="5" t="s">
        <v>1217</v>
      </c>
      <c r="S25" s="5" t="b">
        <f t="shared" si="0"/>
        <v>1</v>
      </c>
    </row>
    <row r="26" spans="1:19" s="5" customFormat="1" ht="42" customHeight="1">
      <c r="A26" s="2">
        <v>24</v>
      </c>
      <c r="B26" s="12">
        <v>2544640392</v>
      </c>
      <c r="C26" s="21">
        <v>250371518061</v>
      </c>
      <c r="D26" s="17">
        <f t="shared" si="1"/>
        <v>250494</v>
      </c>
      <c r="E26" s="22" t="s">
        <v>1218</v>
      </c>
      <c r="F26" s="12" t="s">
        <v>19</v>
      </c>
      <c r="G26" s="14" t="s">
        <v>15</v>
      </c>
      <c r="H26" s="19" t="s">
        <v>85</v>
      </c>
      <c r="I26" s="20" t="s">
        <v>3</v>
      </c>
      <c r="J26" s="20" t="s">
        <v>2</v>
      </c>
      <c r="K26" s="20" t="s">
        <v>4</v>
      </c>
      <c r="L26" s="20" t="s">
        <v>1517</v>
      </c>
      <c r="M26" s="20" t="s">
        <v>2</v>
      </c>
      <c r="N26" s="20" t="s">
        <v>8</v>
      </c>
      <c r="O26" s="20" t="s">
        <v>2</v>
      </c>
      <c r="P26" s="11" t="s">
        <v>1517</v>
      </c>
      <c r="Q26" s="4">
        <v>0</v>
      </c>
      <c r="R26" s="5" t="s">
        <v>1218</v>
      </c>
      <c r="S26" s="5" t="b">
        <f t="shared" si="0"/>
        <v>1</v>
      </c>
    </row>
    <row r="27" spans="1:19" s="5" customFormat="1" ht="42" customHeight="1">
      <c r="A27" s="2">
        <v>25</v>
      </c>
      <c r="B27" s="12">
        <v>2544640466</v>
      </c>
      <c r="C27" s="21">
        <v>250371518062</v>
      </c>
      <c r="D27" s="17">
        <f t="shared" si="1"/>
        <v>250495</v>
      </c>
      <c r="E27" s="22" t="s">
        <v>1219</v>
      </c>
      <c r="F27" s="12" t="s">
        <v>19</v>
      </c>
      <c r="G27" s="14" t="s">
        <v>15</v>
      </c>
      <c r="H27" s="19" t="s">
        <v>85</v>
      </c>
      <c r="I27" s="20" t="s">
        <v>3</v>
      </c>
      <c r="J27" s="20" t="s">
        <v>4</v>
      </c>
      <c r="K27" s="20" t="s">
        <v>6</v>
      </c>
      <c r="L27" s="20" t="s">
        <v>4</v>
      </c>
      <c r="M27" s="20" t="s">
        <v>8</v>
      </c>
      <c r="N27" s="20" t="s">
        <v>3</v>
      </c>
      <c r="O27" s="20" t="s">
        <v>3</v>
      </c>
      <c r="P27" s="11" t="s">
        <v>17</v>
      </c>
      <c r="Q27" s="4">
        <v>7.1111111111111107</v>
      </c>
      <c r="R27" s="5" t="s">
        <v>1219</v>
      </c>
      <c r="S27" s="5" t="b">
        <f t="shared" si="0"/>
        <v>1</v>
      </c>
    </row>
    <row r="28" spans="1:19" s="5" customFormat="1" ht="42" customHeight="1">
      <c r="A28" s="2">
        <v>26</v>
      </c>
      <c r="B28" s="12">
        <v>2544640878</v>
      </c>
      <c r="C28" s="21">
        <v>250371518064</v>
      </c>
      <c r="D28" s="17">
        <f t="shared" si="1"/>
        <v>250496</v>
      </c>
      <c r="E28" s="22" t="s">
        <v>1220</v>
      </c>
      <c r="F28" s="12" t="s">
        <v>19</v>
      </c>
      <c r="G28" s="14" t="s">
        <v>15</v>
      </c>
      <c r="H28" s="19" t="s">
        <v>85</v>
      </c>
      <c r="I28" s="20" t="s">
        <v>3</v>
      </c>
      <c r="J28" s="20" t="s">
        <v>4</v>
      </c>
      <c r="K28" s="20" t="s">
        <v>4</v>
      </c>
      <c r="L28" s="20" t="s">
        <v>3</v>
      </c>
      <c r="M28" s="20" t="s">
        <v>8</v>
      </c>
      <c r="N28" s="20" t="s">
        <v>2</v>
      </c>
      <c r="O28" s="20" t="s">
        <v>8</v>
      </c>
      <c r="P28" s="11" t="s">
        <v>17</v>
      </c>
      <c r="Q28" s="4">
        <v>8</v>
      </c>
      <c r="R28" s="5" t="s">
        <v>1220</v>
      </c>
      <c r="S28" s="5" t="b">
        <f t="shared" si="0"/>
        <v>1</v>
      </c>
    </row>
    <row r="29" spans="1:19" s="5" customFormat="1" ht="42" customHeight="1">
      <c r="A29" s="2">
        <v>27</v>
      </c>
      <c r="B29" s="12">
        <v>2544640305</v>
      </c>
      <c r="C29" s="21">
        <v>250371518068</v>
      </c>
      <c r="D29" s="17">
        <f t="shared" si="1"/>
        <v>250497</v>
      </c>
      <c r="E29" s="22" t="s">
        <v>1221</v>
      </c>
      <c r="F29" s="12" t="s">
        <v>19</v>
      </c>
      <c r="G29" s="14" t="s">
        <v>15</v>
      </c>
      <c r="H29" s="19" t="s">
        <v>85</v>
      </c>
      <c r="I29" s="20" t="s">
        <v>3</v>
      </c>
      <c r="J29" s="20" t="s">
        <v>4</v>
      </c>
      <c r="K29" s="20" t="s">
        <v>3</v>
      </c>
      <c r="L29" s="20" t="s">
        <v>8</v>
      </c>
      <c r="M29" s="20" t="s">
        <v>8</v>
      </c>
      <c r="N29" s="20" t="s">
        <v>8</v>
      </c>
      <c r="O29" s="20" t="s">
        <v>2</v>
      </c>
      <c r="P29" s="11" t="s">
        <v>17</v>
      </c>
      <c r="Q29" s="4">
        <v>8.6666666666666661</v>
      </c>
      <c r="R29" s="5" t="s">
        <v>1221</v>
      </c>
      <c r="S29" s="5" t="b">
        <f t="shared" si="0"/>
        <v>1</v>
      </c>
    </row>
    <row r="30" spans="1:19" s="5" customFormat="1" ht="42" customHeight="1">
      <c r="A30" s="2">
        <v>28</v>
      </c>
      <c r="B30" s="12">
        <v>2544640825</v>
      </c>
      <c r="C30" s="21">
        <v>250371518080</v>
      </c>
      <c r="D30" s="17">
        <f t="shared" si="1"/>
        <v>250498</v>
      </c>
      <c r="E30" s="22" t="s">
        <v>1548</v>
      </c>
      <c r="F30" s="12" t="s">
        <v>19</v>
      </c>
      <c r="G30" s="14" t="s">
        <v>15</v>
      </c>
      <c r="H30" s="19" t="s">
        <v>85</v>
      </c>
      <c r="I30" s="20" t="s">
        <v>4</v>
      </c>
      <c r="J30" s="20" t="s">
        <v>4</v>
      </c>
      <c r="K30" s="20" t="s">
        <v>4</v>
      </c>
      <c r="L30" s="20" t="s">
        <v>3</v>
      </c>
      <c r="M30" s="20" t="s">
        <v>2</v>
      </c>
      <c r="N30" s="20" t="s">
        <v>4</v>
      </c>
      <c r="O30" s="20" t="s">
        <v>8</v>
      </c>
      <c r="P30" s="11" t="s">
        <v>17</v>
      </c>
      <c r="Q30" s="4">
        <v>7.4444444444444446</v>
      </c>
      <c r="R30" s="5" t="s">
        <v>1548</v>
      </c>
      <c r="S30" s="5" t="b">
        <f t="shared" si="0"/>
        <v>1</v>
      </c>
    </row>
    <row r="31" spans="1:19" s="5" customFormat="1" ht="42" customHeight="1">
      <c r="A31" s="2">
        <v>29</v>
      </c>
      <c r="B31" s="12">
        <v>2544640047</v>
      </c>
      <c r="C31" s="21">
        <v>250371518086</v>
      </c>
      <c r="D31" s="17">
        <f t="shared" si="1"/>
        <v>250499</v>
      </c>
      <c r="E31" s="22" t="s">
        <v>1222</v>
      </c>
      <c r="F31" s="12" t="s">
        <v>19</v>
      </c>
      <c r="G31" s="14" t="s">
        <v>15</v>
      </c>
      <c r="H31" s="19" t="s">
        <v>85</v>
      </c>
      <c r="I31" s="20" t="s">
        <v>3</v>
      </c>
      <c r="J31" s="20" t="s">
        <v>8</v>
      </c>
      <c r="K31" s="20" t="s">
        <v>3</v>
      </c>
      <c r="L31" s="20" t="s">
        <v>8</v>
      </c>
      <c r="M31" s="20" t="s">
        <v>8</v>
      </c>
      <c r="N31" s="20" t="s">
        <v>2</v>
      </c>
      <c r="O31" s="20" t="s">
        <v>2</v>
      </c>
      <c r="P31" s="11" t="s">
        <v>17</v>
      </c>
      <c r="Q31" s="4">
        <v>9</v>
      </c>
      <c r="R31" s="5" t="s">
        <v>1222</v>
      </c>
      <c r="S31" s="5" t="b">
        <f t="shared" si="0"/>
        <v>1</v>
      </c>
    </row>
    <row r="32" spans="1:19" s="5" customFormat="1" ht="42" customHeight="1">
      <c r="A32" s="2">
        <v>30</v>
      </c>
      <c r="B32" s="12">
        <v>2544640820</v>
      </c>
      <c r="C32" s="21">
        <v>250371518087</v>
      </c>
      <c r="D32" s="17">
        <f t="shared" si="1"/>
        <v>250500</v>
      </c>
      <c r="E32" s="22" t="s">
        <v>1223</v>
      </c>
      <c r="F32" s="12" t="s">
        <v>19</v>
      </c>
      <c r="G32" s="14" t="s">
        <v>15</v>
      </c>
      <c r="H32" s="19" t="s">
        <v>85</v>
      </c>
      <c r="I32" s="20" t="s">
        <v>4</v>
      </c>
      <c r="J32" s="20" t="s">
        <v>3</v>
      </c>
      <c r="K32" s="20" t="s">
        <v>4</v>
      </c>
      <c r="L32" s="20" t="s">
        <v>8</v>
      </c>
      <c r="M32" s="20" t="s">
        <v>8</v>
      </c>
      <c r="N32" s="20" t="s">
        <v>2</v>
      </c>
      <c r="O32" s="20" t="s">
        <v>8</v>
      </c>
      <c r="P32" s="11" t="s">
        <v>17</v>
      </c>
      <c r="Q32" s="4">
        <v>8.3333333333333339</v>
      </c>
      <c r="R32" s="5" t="s">
        <v>1223</v>
      </c>
      <c r="S32" s="5" t="b">
        <f t="shared" si="0"/>
        <v>1</v>
      </c>
    </row>
    <row r="33" spans="1:19" s="5" customFormat="1" ht="42" customHeight="1">
      <c r="A33" s="2">
        <v>31</v>
      </c>
      <c r="B33" s="12">
        <v>2544640681</v>
      </c>
      <c r="C33" s="21">
        <v>250371518088</v>
      </c>
      <c r="D33" s="17">
        <f t="shared" si="1"/>
        <v>250501</v>
      </c>
      <c r="E33" s="22" t="s">
        <v>1224</v>
      </c>
      <c r="F33" s="12" t="s">
        <v>19</v>
      </c>
      <c r="G33" s="14" t="s">
        <v>15</v>
      </c>
      <c r="H33" s="19" t="s">
        <v>85</v>
      </c>
      <c r="I33" s="20" t="s">
        <v>4</v>
      </c>
      <c r="J33" s="20" t="s">
        <v>4</v>
      </c>
      <c r="K33" s="20" t="s">
        <v>4</v>
      </c>
      <c r="L33" s="20" t="s">
        <v>2</v>
      </c>
      <c r="M33" s="20" t="s">
        <v>8</v>
      </c>
      <c r="N33" s="20" t="s">
        <v>2</v>
      </c>
      <c r="O33" s="20" t="s">
        <v>8</v>
      </c>
      <c r="P33" s="11" t="s">
        <v>17</v>
      </c>
      <c r="Q33" s="4">
        <v>8</v>
      </c>
      <c r="R33" s="5" t="s">
        <v>1224</v>
      </c>
      <c r="S33" s="5" t="b">
        <f t="shared" si="0"/>
        <v>1</v>
      </c>
    </row>
    <row r="34" spans="1:19" s="5" customFormat="1" ht="42" customHeight="1">
      <c r="A34" s="2">
        <v>32</v>
      </c>
      <c r="B34" s="12">
        <v>2544640562</v>
      </c>
      <c r="C34" s="21">
        <v>250371518089</v>
      </c>
      <c r="D34" s="17">
        <f t="shared" si="1"/>
        <v>250502</v>
      </c>
      <c r="E34" s="22" t="s">
        <v>1225</v>
      </c>
      <c r="F34" s="12" t="s">
        <v>19</v>
      </c>
      <c r="G34" s="14" t="s">
        <v>15</v>
      </c>
      <c r="H34" s="19" t="s">
        <v>85</v>
      </c>
      <c r="I34" s="20" t="s">
        <v>4</v>
      </c>
      <c r="J34" s="20" t="s">
        <v>6</v>
      </c>
      <c r="K34" s="20" t="s">
        <v>5</v>
      </c>
      <c r="L34" s="20" t="s">
        <v>4</v>
      </c>
      <c r="M34" s="20" t="s">
        <v>8</v>
      </c>
      <c r="N34" s="20" t="s">
        <v>4</v>
      </c>
      <c r="O34" s="20" t="s">
        <v>2</v>
      </c>
      <c r="P34" s="11" t="s">
        <v>17</v>
      </c>
      <c r="Q34" s="4">
        <v>6.7222222222222223</v>
      </c>
      <c r="R34" s="5" t="s">
        <v>1225</v>
      </c>
      <c r="S34" s="5" t="b">
        <f t="shared" si="0"/>
        <v>1</v>
      </c>
    </row>
    <row r="35" spans="1:19" s="5" customFormat="1" ht="42" customHeight="1">
      <c r="A35" s="2">
        <v>33</v>
      </c>
      <c r="B35" s="12">
        <v>2544640910</v>
      </c>
      <c r="C35" s="21">
        <v>250371518093</v>
      </c>
      <c r="D35" s="17">
        <f t="shared" si="1"/>
        <v>250503</v>
      </c>
      <c r="E35" s="22" t="s">
        <v>1226</v>
      </c>
      <c r="F35" s="12" t="s">
        <v>19</v>
      </c>
      <c r="G35" s="14" t="s">
        <v>15</v>
      </c>
      <c r="H35" s="19" t="s">
        <v>85</v>
      </c>
      <c r="I35" s="20" t="s">
        <v>4</v>
      </c>
      <c r="J35" s="20" t="s">
        <v>2</v>
      </c>
      <c r="K35" s="20" t="s">
        <v>4</v>
      </c>
      <c r="L35" s="20" t="s">
        <v>2</v>
      </c>
      <c r="M35" s="20" t="s">
        <v>8</v>
      </c>
      <c r="N35" s="20" t="s">
        <v>3</v>
      </c>
      <c r="O35" s="20" t="s">
        <v>4</v>
      </c>
      <c r="P35" s="11" t="s">
        <v>17</v>
      </c>
      <c r="Q35" s="4">
        <v>8</v>
      </c>
      <c r="R35" s="5" t="s">
        <v>1226</v>
      </c>
      <c r="S35" s="5" t="b">
        <f t="shared" si="0"/>
        <v>1</v>
      </c>
    </row>
    <row r="36" spans="1:19" s="5" customFormat="1" ht="42" customHeight="1">
      <c r="A36" s="2">
        <v>34</v>
      </c>
      <c r="B36" s="12">
        <v>2544640331</v>
      </c>
      <c r="C36" s="21">
        <v>250371518094</v>
      </c>
      <c r="D36" s="17">
        <f t="shared" si="1"/>
        <v>250504</v>
      </c>
      <c r="E36" s="22" t="s">
        <v>1227</v>
      </c>
      <c r="F36" s="12" t="s">
        <v>19</v>
      </c>
      <c r="G36" s="14" t="s">
        <v>15</v>
      </c>
      <c r="H36" s="19" t="s">
        <v>85</v>
      </c>
      <c r="I36" s="20" t="s">
        <v>4</v>
      </c>
      <c r="J36" s="20" t="s">
        <v>4</v>
      </c>
      <c r="K36" s="20" t="s">
        <v>6</v>
      </c>
      <c r="L36" s="20" t="s">
        <v>2</v>
      </c>
      <c r="M36" s="20" t="s">
        <v>2</v>
      </c>
      <c r="N36" s="20" t="s">
        <v>3</v>
      </c>
      <c r="O36" s="20" t="s">
        <v>2</v>
      </c>
      <c r="P36" s="11" t="s">
        <v>17</v>
      </c>
      <c r="Q36" s="4">
        <v>7.2777777777777777</v>
      </c>
      <c r="R36" s="5" t="s">
        <v>1227</v>
      </c>
      <c r="S36" s="5" t="b">
        <f t="shared" si="0"/>
        <v>1</v>
      </c>
    </row>
    <row r="37" spans="1:19" s="5" customFormat="1" ht="42" customHeight="1">
      <c r="A37" s="2">
        <v>35</v>
      </c>
      <c r="B37" s="12">
        <v>2544640358</v>
      </c>
      <c r="C37" s="21">
        <v>250371518096</v>
      </c>
      <c r="D37" s="17">
        <f t="shared" si="1"/>
        <v>250505</v>
      </c>
      <c r="E37" s="22" t="s">
        <v>1228</v>
      </c>
      <c r="F37" s="12" t="s">
        <v>19</v>
      </c>
      <c r="G37" s="14" t="s">
        <v>15</v>
      </c>
      <c r="H37" s="19" t="s">
        <v>85</v>
      </c>
      <c r="I37" s="20" t="s">
        <v>6</v>
      </c>
      <c r="J37" s="20" t="s">
        <v>4</v>
      </c>
      <c r="K37" s="20" t="s">
        <v>11</v>
      </c>
      <c r="L37" s="20" t="s">
        <v>4</v>
      </c>
      <c r="M37" s="20" t="s">
        <v>8</v>
      </c>
      <c r="N37" s="20" t="s">
        <v>5</v>
      </c>
      <c r="O37" s="20" t="s">
        <v>2</v>
      </c>
      <c r="P37" s="11" t="s">
        <v>17</v>
      </c>
      <c r="Q37" s="4">
        <v>6.11</v>
      </c>
      <c r="R37" s="5" t="s">
        <v>1228</v>
      </c>
      <c r="S37" s="5" t="b">
        <f t="shared" si="0"/>
        <v>1</v>
      </c>
    </row>
    <row r="38" spans="1:19" s="5" customFormat="1" ht="42" customHeight="1">
      <c r="A38" s="2">
        <v>36</v>
      </c>
      <c r="B38" s="12">
        <v>2544640661</v>
      </c>
      <c r="C38" s="21">
        <v>250371518098</v>
      </c>
      <c r="D38" s="17">
        <f t="shared" si="1"/>
        <v>250506</v>
      </c>
      <c r="E38" s="22" t="s">
        <v>1229</v>
      </c>
      <c r="F38" s="12" t="s">
        <v>19</v>
      </c>
      <c r="G38" s="14" t="s">
        <v>15</v>
      </c>
      <c r="H38" s="19" t="s">
        <v>85</v>
      </c>
      <c r="I38" s="20" t="s">
        <v>4</v>
      </c>
      <c r="J38" s="20" t="s">
        <v>8</v>
      </c>
      <c r="K38" s="20" t="s">
        <v>3</v>
      </c>
      <c r="L38" s="20" t="s">
        <v>1517</v>
      </c>
      <c r="M38" s="20" t="s">
        <v>8</v>
      </c>
      <c r="N38" s="20" t="s">
        <v>4</v>
      </c>
      <c r="O38" s="20" t="s">
        <v>8</v>
      </c>
      <c r="P38" s="11" t="s">
        <v>1517</v>
      </c>
      <c r="Q38" s="4">
        <v>0</v>
      </c>
      <c r="R38" s="5" t="s">
        <v>1229</v>
      </c>
      <c r="S38" s="5" t="b">
        <f t="shared" si="0"/>
        <v>1</v>
      </c>
    </row>
    <row r="39" spans="1:19" s="5" customFormat="1" ht="42" customHeight="1">
      <c r="A39" s="2">
        <v>37</v>
      </c>
      <c r="B39" s="12">
        <v>2544640072</v>
      </c>
      <c r="C39" s="21">
        <v>250371518106</v>
      </c>
      <c r="D39" s="17">
        <f t="shared" si="1"/>
        <v>250507</v>
      </c>
      <c r="E39" s="22" t="s">
        <v>1230</v>
      </c>
      <c r="F39" s="12" t="s">
        <v>19</v>
      </c>
      <c r="G39" s="14" t="s">
        <v>15</v>
      </c>
      <c r="H39" s="19" t="s">
        <v>85</v>
      </c>
      <c r="I39" s="20" t="s">
        <v>3</v>
      </c>
      <c r="J39" s="20" t="s">
        <v>5</v>
      </c>
      <c r="K39" s="20" t="s">
        <v>3</v>
      </c>
      <c r="L39" s="20" t="s">
        <v>3</v>
      </c>
      <c r="M39" s="20" t="s">
        <v>3</v>
      </c>
      <c r="N39" s="20" t="s">
        <v>3</v>
      </c>
      <c r="O39" s="20" t="s">
        <v>2</v>
      </c>
      <c r="P39" s="11" t="s">
        <v>17</v>
      </c>
      <c r="Q39" s="4">
        <v>7.7222222222222223</v>
      </c>
      <c r="R39" s="5" t="s">
        <v>1230</v>
      </c>
      <c r="S39" s="5" t="b">
        <f t="shared" si="0"/>
        <v>1</v>
      </c>
    </row>
    <row r="40" spans="1:19" s="5" customFormat="1" ht="42" customHeight="1">
      <c r="A40" s="2">
        <v>38</v>
      </c>
      <c r="B40" s="12">
        <v>2544640405</v>
      </c>
      <c r="C40" s="21">
        <v>250371518107</v>
      </c>
      <c r="D40" s="17">
        <f t="shared" si="1"/>
        <v>250508</v>
      </c>
      <c r="E40" s="22" t="s">
        <v>1231</v>
      </c>
      <c r="F40" s="12" t="s">
        <v>19</v>
      </c>
      <c r="G40" s="14" t="s">
        <v>15</v>
      </c>
      <c r="H40" s="19" t="s">
        <v>85</v>
      </c>
      <c r="I40" s="20" t="s">
        <v>2</v>
      </c>
      <c r="J40" s="20" t="s">
        <v>2</v>
      </c>
      <c r="K40" s="20" t="s">
        <v>2</v>
      </c>
      <c r="L40" s="20" t="s">
        <v>2</v>
      </c>
      <c r="M40" s="20" t="s">
        <v>2</v>
      </c>
      <c r="N40" s="20" t="s">
        <v>8</v>
      </c>
      <c r="O40" s="20" t="s">
        <v>2</v>
      </c>
      <c r="P40" s="11" t="s">
        <v>17</v>
      </c>
      <c r="Q40" s="4">
        <v>9.1666666666666661</v>
      </c>
      <c r="R40" s="5" t="s">
        <v>1231</v>
      </c>
      <c r="S40" s="5" t="b">
        <f t="shared" si="0"/>
        <v>1</v>
      </c>
    </row>
    <row r="41" spans="1:19" s="5" customFormat="1" ht="42" customHeight="1">
      <c r="A41" s="2">
        <v>39</v>
      </c>
      <c r="B41" s="12">
        <v>2544641062</v>
      </c>
      <c r="C41" s="21">
        <v>250371518110</v>
      </c>
      <c r="D41" s="17">
        <f t="shared" si="1"/>
        <v>250509</v>
      </c>
      <c r="E41" s="22" t="s">
        <v>1232</v>
      </c>
      <c r="F41" s="12" t="s">
        <v>19</v>
      </c>
      <c r="G41" s="14" t="s">
        <v>15</v>
      </c>
      <c r="H41" s="19" t="s">
        <v>85</v>
      </c>
      <c r="I41" s="20" t="s">
        <v>3</v>
      </c>
      <c r="J41" s="20" t="s">
        <v>4</v>
      </c>
      <c r="K41" s="20" t="s">
        <v>8</v>
      </c>
      <c r="L41" s="20" t="s">
        <v>8</v>
      </c>
      <c r="M41" s="20" t="s">
        <v>8</v>
      </c>
      <c r="N41" s="20" t="s">
        <v>3</v>
      </c>
      <c r="O41" s="20" t="s">
        <v>8</v>
      </c>
      <c r="P41" s="11" t="s">
        <v>17</v>
      </c>
      <c r="Q41" s="4">
        <v>8.8333333333333339</v>
      </c>
      <c r="R41" s="5" t="s">
        <v>1232</v>
      </c>
      <c r="S41" s="5" t="b">
        <f t="shared" si="0"/>
        <v>1</v>
      </c>
    </row>
    <row r="42" spans="1:19" s="5" customFormat="1" ht="42" customHeight="1">
      <c r="A42" s="2">
        <v>40</v>
      </c>
      <c r="B42" s="12">
        <v>2544640254</v>
      </c>
      <c r="C42" s="21">
        <v>250371518111</v>
      </c>
      <c r="D42" s="17">
        <f t="shared" si="1"/>
        <v>250510</v>
      </c>
      <c r="E42" s="22" t="s">
        <v>1233</v>
      </c>
      <c r="F42" s="12" t="s">
        <v>19</v>
      </c>
      <c r="G42" s="14" t="s">
        <v>15</v>
      </c>
      <c r="H42" s="19" t="s">
        <v>85</v>
      </c>
      <c r="I42" s="20" t="s">
        <v>3</v>
      </c>
      <c r="J42" s="20" t="s">
        <v>2</v>
      </c>
      <c r="K42" s="20" t="s">
        <v>8</v>
      </c>
      <c r="L42" s="20" t="s">
        <v>8</v>
      </c>
      <c r="M42" s="20" t="s">
        <v>8</v>
      </c>
      <c r="N42" s="20" t="s">
        <v>8</v>
      </c>
      <c r="O42" s="20" t="s">
        <v>2</v>
      </c>
      <c r="P42" s="11" t="s">
        <v>17</v>
      </c>
      <c r="Q42" s="4">
        <v>9.4444444444444446</v>
      </c>
      <c r="R42" s="5" t="s">
        <v>1233</v>
      </c>
      <c r="S42" s="5" t="b">
        <f t="shared" si="0"/>
        <v>1</v>
      </c>
    </row>
    <row r="43" spans="1:19" s="5" customFormat="1" ht="42" customHeight="1">
      <c r="A43" s="2">
        <v>41</v>
      </c>
      <c r="B43" s="12">
        <v>2544640306</v>
      </c>
      <c r="C43" s="21">
        <v>250371518113</v>
      </c>
      <c r="D43" s="17">
        <f t="shared" si="1"/>
        <v>250511</v>
      </c>
      <c r="E43" s="22" t="s">
        <v>1234</v>
      </c>
      <c r="F43" s="12" t="s">
        <v>19</v>
      </c>
      <c r="G43" s="14" t="s">
        <v>15</v>
      </c>
      <c r="H43" s="19" t="s">
        <v>85</v>
      </c>
      <c r="I43" s="20" t="s">
        <v>4</v>
      </c>
      <c r="J43" s="20" t="s">
        <v>4</v>
      </c>
      <c r="K43" s="20" t="s">
        <v>4</v>
      </c>
      <c r="L43" s="20" t="s">
        <v>3</v>
      </c>
      <c r="M43" s="20" t="s">
        <v>2</v>
      </c>
      <c r="N43" s="20" t="s">
        <v>2</v>
      </c>
      <c r="O43" s="20" t="s">
        <v>2</v>
      </c>
      <c r="P43" s="11" t="s">
        <v>17</v>
      </c>
      <c r="Q43" s="4">
        <v>7.7222222222222223</v>
      </c>
      <c r="R43" s="5" t="s">
        <v>1234</v>
      </c>
      <c r="S43" s="5" t="b">
        <f t="shared" si="0"/>
        <v>1</v>
      </c>
    </row>
    <row r="44" spans="1:19" s="5" customFormat="1" ht="42" customHeight="1">
      <c r="A44" s="2">
        <v>42</v>
      </c>
      <c r="B44" s="12">
        <v>2544640313</v>
      </c>
      <c r="C44" s="21">
        <v>250371518121</v>
      </c>
      <c r="D44" s="17">
        <f t="shared" si="1"/>
        <v>250512</v>
      </c>
      <c r="E44" s="22" t="s">
        <v>1235</v>
      </c>
      <c r="F44" s="12" t="s">
        <v>19</v>
      </c>
      <c r="G44" s="14" t="s">
        <v>15</v>
      </c>
      <c r="H44" s="19" t="s">
        <v>85</v>
      </c>
      <c r="I44" s="20" t="s">
        <v>6</v>
      </c>
      <c r="J44" s="20" t="s">
        <v>7</v>
      </c>
      <c r="K44" s="20" t="s">
        <v>4</v>
      </c>
      <c r="L44" s="20" t="s">
        <v>5</v>
      </c>
      <c r="M44" s="20" t="s">
        <v>3</v>
      </c>
      <c r="N44" s="20" t="s">
        <v>5</v>
      </c>
      <c r="O44" s="20" t="s">
        <v>4</v>
      </c>
      <c r="P44" s="11" t="s">
        <v>7</v>
      </c>
      <c r="Q44" s="4">
        <v>0</v>
      </c>
      <c r="R44" s="5" t="s">
        <v>1235</v>
      </c>
      <c r="S44" s="5" t="b">
        <f t="shared" si="0"/>
        <v>1</v>
      </c>
    </row>
    <row r="45" spans="1:19" s="5" customFormat="1" ht="42" customHeight="1">
      <c r="A45" s="2">
        <v>43</v>
      </c>
      <c r="B45" s="12">
        <v>2544640732</v>
      </c>
      <c r="C45" s="21">
        <v>250371518124</v>
      </c>
      <c r="D45" s="17">
        <f t="shared" si="1"/>
        <v>250513</v>
      </c>
      <c r="E45" s="22" t="s">
        <v>1236</v>
      </c>
      <c r="F45" s="12" t="s">
        <v>19</v>
      </c>
      <c r="G45" s="14" t="s">
        <v>15</v>
      </c>
      <c r="H45" s="19" t="s">
        <v>85</v>
      </c>
      <c r="I45" s="20" t="s">
        <v>6</v>
      </c>
      <c r="J45" s="20" t="s">
        <v>1517</v>
      </c>
      <c r="K45" s="20" t="s">
        <v>6</v>
      </c>
      <c r="L45" s="20" t="s">
        <v>4</v>
      </c>
      <c r="M45" s="20" t="s">
        <v>2</v>
      </c>
      <c r="N45" s="20" t="s">
        <v>5</v>
      </c>
      <c r="O45" s="20" t="s">
        <v>3</v>
      </c>
      <c r="P45" s="11" t="s">
        <v>1517</v>
      </c>
      <c r="Q45" s="4">
        <v>0</v>
      </c>
      <c r="R45" s="5" t="s">
        <v>1236</v>
      </c>
      <c r="S45" s="5" t="b">
        <f t="shared" si="0"/>
        <v>1</v>
      </c>
    </row>
    <row r="46" spans="1:19" s="5" customFormat="1" ht="42" customHeight="1">
      <c r="A46" s="2">
        <v>44</v>
      </c>
      <c r="B46" s="12">
        <v>2544640548</v>
      </c>
      <c r="C46" s="21">
        <v>250371518125</v>
      </c>
      <c r="D46" s="17">
        <f t="shared" si="1"/>
        <v>250514</v>
      </c>
      <c r="E46" s="22" t="s">
        <v>1237</v>
      </c>
      <c r="F46" s="12" t="s">
        <v>19</v>
      </c>
      <c r="G46" s="14" t="s">
        <v>15</v>
      </c>
      <c r="H46" s="19" t="s">
        <v>85</v>
      </c>
      <c r="I46" s="20" t="s">
        <v>4</v>
      </c>
      <c r="J46" s="20" t="s">
        <v>4</v>
      </c>
      <c r="K46" s="20" t="s">
        <v>2</v>
      </c>
      <c r="L46" s="20" t="s">
        <v>3</v>
      </c>
      <c r="M46" s="20" t="s">
        <v>8</v>
      </c>
      <c r="N46" s="20" t="s">
        <v>4</v>
      </c>
      <c r="O46" s="20" t="s">
        <v>3</v>
      </c>
      <c r="P46" s="11" t="s">
        <v>17</v>
      </c>
      <c r="Q46" s="4">
        <v>7.833333333333333</v>
      </c>
      <c r="R46" s="5" t="s">
        <v>1237</v>
      </c>
      <c r="S46" s="5" t="b">
        <f t="shared" si="0"/>
        <v>1</v>
      </c>
    </row>
    <row r="47" spans="1:19" s="5" customFormat="1" ht="42" customHeight="1">
      <c r="A47" s="2">
        <v>45</v>
      </c>
      <c r="B47" s="12">
        <v>2544640650</v>
      </c>
      <c r="C47" s="21">
        <v>250371518128</v>
      </c>
      <c r="D47" s="17">
        <f t="shared" si="1"/>
        <v>250515</v>
      </c>
      <c r="E47" s="22" t="s">
        <v>1238</v>
      </c>
      <c r="F47" s="12" t="s">
        <v>19</v>
      </c>
      <c r="G47" s="14" t="s">
        <v>15</v>
      </c>
      <c r="H47" s="19" t="s">
        <v>85</v>
      </c>
      <c r="I47" s="20" t="s">
        <v>5</v>
      </c>
      <c r="J47" s="20" t="s">
        <v>6</v>
      </c>
      <c r="K47" s="20" t="s">
        <v>3</v>
      </c>
      <c r="L47" s="20" t="s">
        <v>4</v>
      </c>
      <c r="M47" s="20" t="s">
        <v>8</v>
      </c>
      <c r="N47" s="20" t="s">
        <v>4</v>
      </c>
      <c r="O47" s="20" t="s">
        <v>4</v>
      </c>
      <c r="P47" s="11" t="s">
        <v>17</v>
      </c>
      <c r="Q47" s="4">
        <v>6.8888888888888893</v>
      </c>
      <c r="R47" s="5" t="s">
        <v>1238</v>
      </c>
      <c r="S47" s="5" t="b">
        <f t="shared" si="0"/>
        <v>1</v>
      </c>
    </row>
    <row r="48" spans="1:19" s="5" customFormat="1" ht="42" customHeight="1">
      <c r="A48" s="2">
        <v>46</v>
      </c>
      <c r="B48" s="12">
        <v>2544640607</v>
      </c>
      <c r="C48" s="21">
        <v>250371518133</v>
      </c>
      <c r="D48" s="17">
        <f t="shared" si="1"/>
        <v>250516</v>
      </c>
      <c r="E48" s="22" t="s">
        <v>1239</v>
      </c>
      <c r="F48" s="12" t="s">
        <v>19</v>
      </c>
      <c r="G48" s="14" t="s">
        <v>15</v>
      </c>
      <c r="H48" s="19" t="s">
        <v>85</v>
      </c>
      <c r="I48" s="20" t="s">
        <v>2</v>
      </c>
      <c r="J48" s="20" t="s">
        <v>3</v>
      </c>
      <c r="K48" s="20" t="s">
        <v>8</v>
      </c>
      <c r="L48" s="20" t="s">
        <v>8</v>
      </c>
      <c r="M48" s="20" t="s">
        <v>8</v>
      </c>
      <c r="N48" s="20" t="s">
        <v>2</v>
      </c>
      <c r="O48" s="20" t="s">
        <v>8</v>
      </c>
      <c r="P48" s="11" t="s">
        <v>17</v>
      </c>
      <c r="Q48" s="4">
        <v>9.3333333333333339</v>
      </c>
      <c r="R48" s="5" t="s">
        <v>1239</v>
      </c>
      <c r="S48" s="5" t="b">
        <f t="shared" si="0"/>
        <v>1</v>
      </c>
    </row>
    <row r="49" spans="1:19" s="5" customFormat="1" ht="42" customHeight="1">
      <c r="A49" s="2">
        <v>47</v>
      </c>
      <c r="B49" s="12">
        <v>2544640710</v>
      </c>
      <c r="C49" s="21">
        <v>250371518138</v>
      </c>
      <c r="D49" s="17">
        <f t="shared" si="1"/>
        <v>250517</v>
      </c>
      <c r="E49" s="22" t="s">
        <v>1240</v>
      </c>
      <c r="F49" s="12" t="s">
        <v>19</v>
      </c>
      <c r="G49" s="14" t="s">
        <v>15</v>
      </c>
      <c r="H49" s="19" t="s">
        <v>85</v>
      </c>
      <c r="I49" s="20" t="s">
        <v>3</v>
      </c>
      <c r="J49" s="20" t="s">
        <v>4</v>
      </c>
      <c r="K49" s="20" t="s">
        <v>5</v>
      </c>
      <c r="L49" s="20" t="s">
        <v>3</v>
      </c>
      <c r="M49" s="20" t="s">
        <v>2</v>
      </c>
      <c r="N49" s="20" t="s">
        <v>4</v>
      </c>
      <c r="O49" s="20" t="s">
        <v>4</v>
      </c>
      <c r="P49" s="11" t="s">
        <v>17</v>
      </c>
      <c r="Q49" s="4">
        <v>7.2222222222222223</v>
      </c>
      <c r="R49" s="5" t="s">
        <v>1240</v>
      </c>
      <c r="S49" s="5" t="b">
        <f t="shared" si="0"/>
        <v>1</v>
      </c>
    </row>
    <row r="50" spans="1:19" s="5" customFormat="1" ht="42" customHeight="1">
      <c r="A50" s="2">
        <v>48</v>
      </c>
      <c r="B50" s="12">
        <v>2544640406</v>
      </c>
      <c r="C50" s="21">
        <v>250371518139</v>
      </c>
      <c r="D50" s="17">
        <f t="shared" si="1"/>
        <v>250518</v>
      </c>
      <c r="E50" s="22" t="s">
        <v>1241</v>
      </c>
      <c r="F50" s="12" t="s">
        <v>19</v>
      </c>
      <c r="G50" s="14" t="s">
        <v>15</v>
      </c>
      <c r="H50" s="19" t="s">
        <v>85</v>
      </c>
      <c r="I50" s="20" t="s">
        <v>3</v>
      </c>
      <c r="J50" s="20" t="s">
        <v>6</v>
      </c>
      <c r="K50" s="20" t="s">
        <v>4</v>
      </c>
      <c r="L50" s="20" t="s">
        <v>4</v>
      </c>
      <c r="M50" s="20" t="s">
        <v>2</v>
      </c>
      <c r="N50" s="20" t="s">
        <v>4</v>
      </c>
      <c r="O50" s="20" t="s">
        <v>4</v>
      </c>
      <c r="P50" s="11" t="s">
        <v>17</v>
      </c>
      <c r="Q50" s="4">
        <v>6.9444444444444446</v>
      </c>
      <c r="R50" s="5" t="s">
        <v>1241</v>
      </c>
      <c r="S50" s="5" t="b">
        <f t="shared" si="0"/>
        <v>1</v>
      </c>
    </row>
    <row r="51" spans="1:19" s="5" customFormat="1" ht="42" customHeight="1">
      <c r="A51" s="2">
        <v>49</v>
      </c>
      <c r="B51" s="12">
        <v>2544640735</v>
      </c>
      <c r="C51" s="21">
        <v>250371518140</v>
      </c>
      <c r="D51" s="17">
        <f t="shared" si="1"/>
        <v>250519</v>
      </c>
      <c r="E51" s="22" t="s">
        <v>1242</v>
      </c>
      <c r="F51" s="12" t="s">
        <v>19</v>
      </c>
      <c r="G51" s="14" t="s">
        <v>15</v>
      </c>
      <c r="H51" s="19" t="s">
        <v>85</v>
      </c>
      <c r="I51" s="20" t="s">
        <v>2</v>
      </c>
      <c r="J51" s="20" t="s">
        <v>6</v>
      </c>
      <c r="K51" s="20" t="s">
        <v>5</v>
      </c>
      <c r="L51" s="20" t="s">
        <v>4</v>
      </c>
      <c r="M51" s="20" t="s">
        <v>2</v>
      </c>
      <c r="N51" s="20" t="s">
        <v>4</v>
      </c>
      <c r="O51" s="20" t="s">
        <v>8</v>
      </c>
      <c r="P51" s="11" t="s">
        <v>17</v>
      </c>
      <c r="Q51" s="4">
        <v>7.0555555555555554</v>
      </c>
      <c r="R51" s="5" t="s">
        <v>1242</v>
      </c>
      <c r="S51" s="5" t="b">
        <f t="shared" si="0"/>
        <v>1</v>
      </c>
    </row>
    <row r="52" spans="1:19" s="5" customFormat="1" ht="42" customHeight="1">
      <c r="A52" s="2">
        <v>50</v>
      </c>
      <c r="B52" s="12">
        <v>2544640014</v>
      </c>
      <c r="C52" s="21">
        <v>250371518146</v>
      </c>
      <c r="D52" s="17">
        <f t="shared" si="1"/>
        <v>250520</v>
      </c>
      <c r="E52" s="22" t="s">
        <v>1243</v>
      </c>
      <c r="F52" s="12" t="s">
        <v>19</v>
      </c>
      <c r="G52" s="14" t="s">
        <v>15</v>
      </c>
      <c r="H52" s="19" t="s">
        <v>85</v>
      </c>
      <c r="I52" s="20" t="s">
        <v>4</v>
      </c>
      <c r="J52" s="20" t="s">
        <v>5</v>
      </c>
      <c r="K52" s="20" t="s">
        <v>4</v>
      </c>
      <c r="L52" s="20" t="s">
        <v>3</v>
      </c>
      <c r="M52" s="20" t="s">
        <v>8</v>
      </c>
      <c r="N52" s="20" t="s">
        <v>3</v>
      </c>
      <c r="O52" s="20" t="s">
        <v>2</v>
      </c>
      <c r="P52" s="11" t="s">
        <v>17</v>
      </c>
      <c r="Q52" s="4">
        <v>7.4444444444444446</v>
      </c>
      <c r="R52" s="5" t="s">
        <v>1243</v>
      </c>
      <c r="S52" s="5" t="b">
        <f t="shared" si="0"/>
        <v>1</v>
      </c>
    </row>
    <row r="53" spans="1:19" s="5" customFormat="1" ht="42" customHeight="1">
      <c r="A53" s="2">
        <v>51</v>
      </c>
      <c r="B53" s="12">
        <v>2544640975</v>
      </c>
      <c r="C53" s="21">
        <v>250371518149</v>
      </c>
      <c r="D53" s="17">
        <f t="shared" si="1"/>
        <v>250521</v>
      </c>
      <c r="E53" s="22" t="s">
        <v>1244</v>
      </c>
      <c r="F53" s="12" t="s">
        <v>19</v>
      </c>
      <c r="G53" s="14" t="s">
        <v>15</v>
      </c>
      <c r="H53" s="19" t="s">
        <v>85</v>
      </c>
      <c r="I53" s="20" t="s">
        <v>2</v>
      </c>
      <c r="J53" s="20" t="s">
        <v>6</v>
      </c>
      <c r="K53" s="20" t="s">
        <v>4</v>
      </c>
      <c r="L53" s="20" t="s">
        <v>3</v>
      </c>
      <c r="M53" s="20" t="s">
        <v>8</v>
      </c>
      <c r="N53" s="20" t="s">
        <v>3</v>
      </c>
      <c r="O53" s="20" t="s">
        <v>8</v>
      </c>
      <c r="P53" s="11" t="s">
        <v>17</v>
      </c>
      <c r="Q53" s="4">
        <v>7.666666666666667</v>
      </c>
      <c r="R53" s="5" t="s">
        <v>1244</v>
      </c>
      <c r="S53" s="5" t="b">
        <f t="shared" si="0"/>
        <v>1</v>
      </c>
    </row>
    <row r="54" spans="1:19" s="5" customFormat="1" ht="42" customHeight="1">
      <c r="A54" s="2">
        <v>52</v>
      </c>
      <c r="B54" s="12">
        <v>2544640228</v>
      </c>
      <c r="C54" s="21">
        <v>250371518152</v>
      </c>
      <c r="D54" s="17">
        <f t="shared" si="1"/>
        <v>250522</v>
      </c>
      <c r="E54" s="22" t="s">
        <v>1245</v>
      </c>
      <c r="F54" s="12" t="s">
        <v>19</v>
      </c>
      <c r="G54" s="14" t="s">
        <v>15</v>
      </c>
      <c r="H54" s="19" t="s">
        <v>85</v>
      </c>
      <c r="I54" s="20" t="s">
        <v>3</v>
      </c>
      <c r="J54" s="20" t="s">
        <v>3</v>
      </c>
      <c r="K54" s="20" t="s">
        <v>5</v>
      </c>
      <c r="L54" s="20" t="s">
        <v>3</v>
      </c>
      <c r="M54" s="20" t="s">
        <v>3</v>
      </c>
      <c r="N54" s="20" t="s">
        <v>4</v>
      </c>
      <c r="O54" s="20" t="s">
        <v>2</v>
      </c>
      <c r="P54" s="11" t="s">
        <v>17</v>
      </c>
      <c r="Q54" s="4">
        <v>7.4444444444444446</v>
      </c>
      <c r="R54" s="5" t="s">
        <v>1245</v>
      </c>
      <c r="S54" s="5" t="b">
        <f t="shared" si="0"/>
        <v>1</v>
      </c>
    </row>
  </sheetData>
  <autoFilter ref="A2:S54"/>
  <mergeCells count="8">
    <mergeCell ref="H1:H2"/>
    <mergeCell ref="Q1:Q2"/>
    <mergeCell ref="A1:A2"/>
    <mergeCell ref="B1:B2"/>
    <mergeCell ref="C1:C2"/>
    <mergeCell ref="E1:E2"/>
    <mergeCell ref="F1:F2"/>
    <mergeCell ref="G1:G2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00B050"/>
  </sheetPr>
  <dimension ref="A1:S33"/>
  <sheetViews>
    <sheetView workbookViewId="0">
      <pane ySplit="2" topLeftCell="A24" activePane="bottomLeft" state="frozen"/>
      <selection activeCell="F1" sqref="F1"/>
      <selection pane="bottomLeft" activeCell="E12" sqref="E12"/>
    </sheetView>
  </sheetViews>
  <sheetFormatPr defaultRowHeight="15"/>
  <cols>
    <col min="1" max="1" width="6.5703125" style="6" bestFit="1" customWidth="1"/>
    <col min="2" max="2" width="16.28515625" style="6" customWidth="1"/>
    <col min="3" max="3" width="18.28515625" style="6" bestFit="1" customWidth="1"/>
    <col min="4" max="4" width="18.28515625" style="6" customWidth="1"/>
    <col min="5" max="5" width="44.5703125" style="6" customWidth="1"/>
    <col min="6" max="6" width="12.140625" style="9" customWidth="1"/>
    <col min="7" max="8" width="13.42578125" style="6" customWidth="1"/>
    <col min="9" max="9" width="17.85546875" style="6" customWidth="1"/>
    <col min="10" max="10" width="18.5703125" style="6" customWidth="1"/>
    <col min="11" max="11" width="18.85546875" style="6" customWidth="1"/>
    <col min="12" max="16" width="17.85546875" style="6" customWidth="1"/>
    <col min="17" max="17" width="8.5703125" style="7" bestFit="1" customWidth="1"/>
    <col min="18" max="18" width="56.28515625" style="6" customWidth="1"/>
    <col min="19" max="19" width="16.140625" style="6" customWidth="1"/>
    <col min="20" max="16384" width="9.140625" style="6"/>
  </cols>
  <sheetData>
    <row r="1" spans="1:19" s="8" customFormat="1" ht="127.5" customHeight="1">
      <c r="A1" s="53" t="s">
        <v>1</v>
      </c>
      <c r="B1" s="53" t="s">
        <v>16</v>
      </c>
      <c r="C1" s="53" t="s">
        <v>12</v>
      </c>
      <c r="D1" s="49" t="s">
        <v>1520</v>
      </c>
      <c r="E1" s="53" t="s">
        <v>13</v>
      </c>
      <c r="F1" s="53" t="s">
        <v>14</v>
      </c>
      <c r="G1" s="53" t="s">
        <v>0</v>
      </c>
      <c r="H1" s="53" t="s">
        <v>31</v>
      </c>
      <c r="I1" s="1" t="s">
        <v>78</v>
      </c>
      <c r="J1" s="1" t="s">
        <v>79</v>
      </c>
      <c r="K1" s="1" t="s">
        <v>80</v>
      </c>
      <c r="L1" s="1" t="s">
        <v>692</v>
      </c>
      <c r="M1" s="1" t="s">
        <v>694</v>
      </c>
      <c r="N1" s="1" t="s">
        <v>693</v>
      </c>
      <c r="O1" s="1" t="s">
        <v>695</v>
      </c>
      <c r="P1" s="1" t="s">
        <v>10</v>
      </c>
      <c r="Q1" s="55" t="s">
        <v>9</v>
      </c>
    </row>
    <row r="2" spans="1:19" s="8" customFormat="1" ht="29.25" customHeight="1">
      <c r="A2" s="54"/>
      <c r="B2" s="54"/>
      <c r="C2" s="54"/>
      <c r="D2" s="50"/>
      <c r="E2" s="54"/>
      <c r="F2" s="54"/>
      <c r="G2" s="54"/>
      <c r="H2" s="54"/>
      <c r="I2" s="10">
        <v>3</v>
      </c>
      <c r="J2" s="10">
        <v>3</v>
      </c>
      <c r="K2" s="10">
        <v>4</v>
      </c>
      <c r="L2" s="10">
        <v>3</v>
      </c>
      <c r="M2" s="10">
        <v>1</v>
      </c>
      <c r="N2" s="10">
        <v>3</v>
      </c>
      <c r="O2" s="10">
        <v>1</v>
      </c>
      <c r="P2" s="10">
        <f>SUM(I2:O2)</f>
        <v>18</v>
      </c>
      <c r="Q2" s="56"/>
      <c r="R2" s="8" t="s">
        <v>1542</v>
      </c>
      <c r="S2" s="8" t="s">
        <v>1543</v>
      </c>
    </row>
    <row r="3" spans="1:19" s="5" customFormat="1" ht="42" customHeight="1">
      <c r="A3" s="2">
        <v>1</v>
      </c>
      <c r="B3" s="12">
        <v>2544640573</v>
      </c>
      <c r="C3" s="12">
        <v>250371529001</v>
      </c>
      <c r="D3" s="17">
        <v>250523</v>
      </c>
      <c r="E3" s="13" t="s">
        <v>696</v>
      </c>
      <c r="F3" s="12" t="s">
        <v>27</v>
      </c>
      <c r="G3" s="19" t="s">
        <v>15</v>
      </c>
      <c r="H3" s="19" t="s">
        <v>34</v>
      </c>
      <c r="I3" s="20" t="s">
        <v>3</v>
      </c>
      <c r="J3" s="20" t="s">
        <v>3</v>
      </c>
      <c r="K3" s="20" t="s">
        <v>4</v>
      </c>
      <c r="L3" s="20" t="s">
        <v>4</v>
      </c>
      <c r="M3" s="20" t="s">
        <v>4</v>
      </c>
      <c r="N3" s="20" t="s">
        <v>11</v>
      </c>
      <c r="O3" s="20" t="s">
        <v>4</v>
      </c>
      <c r="P3" s="11" t="s">
        <v>17</v>
      </c>
      <c r="Q3" s="4">
        <v>6.833333333333333</v>
      </c>
      <c r="R3" s="5" t="s">
        <v>696</v>
      </c>
      <c r="S3" s="5" t="b">
        <f>R3=E3</f>
        <v>1</v>
      </c>
    </row>
    <row r="4" spans="1:19" s="5" customFormat="1" ht="42" customHeight="1">
      <c r="A4" s="2">
        <v>2</v>
      </c>
      <c r="B4" s="12">
        <v>2544640988</v>
      </c>
      <c r="C4" s="12">
        <v>250371529002</v>
      </c>
      <c r="D4" s="17">
        <f>D3+1</f>
        <v>250524</v>
      </c>
      <c r="E4" s="13" t="s">
        <v>697</v>
      </c>
      <c r="F4" s="12" t="s">
        <v>27</v>
      </c>
      <c r="G4" s="19" t="s">
        <v>15</v>
      </c>
      <c r="H4" s="19" t="s">
        <v>34</v>
      </c>
      <c r="I4" s="20" t="s">
        <v>2</v>
      </c>
      <c r="J4" s="20" t="s">
        <v>8</v>
      </c>
      <c r="K4" s="20" t="s">
        <v>2</v>
      </c>
      <c r="L4" s="20" t="s">
        <v>8</v>
      </c>
      <c r="M4" s="20" t="s">
        <v>8</v>
      </c>
      <c r="N4" s="20" t="s">
        <v>2</v>
      </c>
      <c r="O4" s="20" t="s">
        <v>8</v>
      </c>
      <c r="P4" s="11" t="s">
        <v>17</v>
      </c>
      <c r="Q4" s="4">
        <v>9.4444444444444446</v>
      </c>
      <c r="R4" s="5" t="s">
        <v>697</v>
      </c>
      <c r="S4" s="5" t="b">
        <f t="shared" ref="S4:S33" si="0">R4=E4</f>
        <v>1</v>
      </c>
    </row>
    <row r="5" spans="1:19" s="5" customFormat="1" ht="42" customHeight="1">
      <c r="A5" s="2">
        <v>3</v>
      </c>
      <c r="B5" s="12">
        <v>2544640694</v>
      </c>
      <c r="C5" s="12">
        <v>250371529003</v>
      </c>
      <c r="D5" s="17">
        <f t="shared" ref="D5:D33" si="1">D4+1</f>
        <v>250525</v>
      </c>
      <c r="E5" s="13" t="s">
        <v>698</v>
      </c>
      <c r="F5" s="12" t="s">
        <v>27</v>
      </c>
      <c r="G5" s="19" t="s">
        <v>15</v>
      </c>
      <c r="H5" s="19" t="s">
        <v>34</v>
      </c>
      <c r="I5" s="20" t="s">
        <v>3</v>
      </c>
      <c r="J5" s="20" t="s">
        <v>5</v>
      </c>
      <c r="K5" s="20" t="s">
        <v>11</v>
      </c>
      <c r="L5" s="20" t="s">
        <v>7</v>
      </c>
      <c r="M5" s="20" t="s">
        <v>4</v>
      </c>
      <c r="N5" s="20" t="s">
        <v>6</v>
      </c>
      <c r="O5" s="20" t="s">
        <v>3</v>
      </c>
      <c r="P5" s="11" t="s">
        <v>7</v>
      </c>
      <c r="Q5" s="4">
        <v>0</v>
      </c>
      <c r="R5" s="5" t="s">
        <v>698</v>
      </c>
      <c r="S5" s="5" t="b">
        <f t="shared" si="0"/>
        <v>1</v>
      </c>
    </row>
    <row r="6" spans="1:19" s="5" customFormat="1" ht="42" customHeight="1">
      <c r="A6" s="2">
        <v>4</v>
      </c>
      <c r="B6" s="12">
        <v>2544640880</v>
      </c>
      <c r="C6" s="12">
        <v>250371529004</v>
      </c>
      <c r="D6" s="17">
        <f t="shared" si="1"/>
        <v>250526</v>
      </c>
      <c r="E6" s="13" t="s">
        <v>699</v>
      </c>
      <c r="F6" s="12" t="s">
        <v>27</v>
      </c>
      <c r="G6" s="19" t="s">
        <v>15</v>
      </c>
      <c r="H6" s="19" t="s">
        <v>34</v>
      </c>
      <c r="I6" s="20" t="s">
        <v>4</v>
      </c>
      <c r="J6" s="20" t="s">
        <v>2</v>
      </c>
      <c r="K6" s="20" t="s">
        <v>6</v>
      </c>
      <c r="L6" s="20" t="s">
        <v>11</v>
      </c>
      <c r="M6" s="20" t="s">
        <v>2</v>
      </c>
      <c r="N6" s="20" t="s">
        <v>6</v>
      </c>
      <c r="O6" s="20" t="s">
        <v>2</v>
      </c>
      <c r="P6" s="11" t="s">
        <v>17</v>
      </c>
      <c r="Q6" s="4">
        <v>6.28</v>
      </c>
      <c r="R6" s="5" t="s">
        <v>699</v>
      </c>
      <c r="S6" s="5" t="b">
        <f t="shared" si="0"/>
        <v>1</v>
      </c>
    </row>
    <row r="7" spans="1:19" s="5" customFormat="1" ht="42" customHeight="1">
      <c r="A7" s="2">
        <v>5</v>
      </c>
      <c r="B7" s="12">
        <v>2544640129</v>
      </c>
      <c r="C7" s="12">
        <v>250371529006</v>
      </c>
      <c r="D7" s="17">
        <f t="shared" si="1"/>
        <v>250527</v>
      </c>
      <c r="E7" s="13" t="s">
        <v>700</v>
      </c>
      <c r="F7" s="12" t="s">
        <v>27</v>
      </c>
      <c r="G7" s="19" t="s">
        <v>15</v>
      </c>
      <c r="H7" s="19" t="s">
        <v>34</v>
      </c>
      <c r="I7" s="20" t="s">
        <v>3</v>
      </c>
      <c r="J7" s="20" t="s">
        <v>2</v>
      </c>
      <c r="K7" s="20" t="s">
        <v>2</v>
      </c>
      <c r="L7" s="20" t="s">
        <v>2</v>
      </c>
      <c r="M7" s="20" t="s">
        <v>8</v>
      </c>
      <c r="N7" s="20" t="s">
        <v>3</v>
      </c>
      <c r="O7" s="20" t="s">
        <v>8</v>
      </c>
      <c r="P7" s="11" t="s">
        <v>17</v>
      </c>
      <c r="Q7" s="4">
        <v>8.7777777777777786</v>
      </c>
      <c r="R7" s="5" t="s">
        <v>700</v>
      </c>
      <c r="S7" s="5" t="b">
        <f t="shared" si="0"/>
        <v>1</v>
      </c>
    </row>
    <row r="8" spans="1:19" s="5" customFormat="1" ht="42" customHeight="1">
      <c r="A8" s="2">
        <v>6</v>
      </c>
      <c r="B8" s="12">
        <v>2544640795</v>
      </c>
      <c r="C8" s="12">
        <v>250371529008</v>
      </c>
      <c r="D8" s="17">
        <f t="shared" si="1"/>
        <v>250528</v>
      </c>
      <c r="E8" s="13" t="s">
        <v>701</v>
      </c>
      <c r="F8" s="12" t="s">
        <v>27</v>
      </c>
      <c r="G8" s="19" t="s">
        <v>15</v>
      </c>
      <c r="H8" s="19" t="s">
        <v>34</v>
      </c>
      <c r="I8" s="20" t="s">
        <v>3</v>
      </c>
      <c r="J8" s="20" t="s">
        <v>2</v>
      </c>
      <c r="K8" s="20" t="s">
        <v>2</v>
      </c>
      <c r="L8" s="20" t="s">
        <v>4</v>
      </c>
      <c r="M8" s="20" t="s">
        <v>3</v>
      </c>
      <c r="N8" s="20" t="s">
        <v>4</v>
      </c>
      <c r="O8" s="20" t="s">
        <v>3</v>
      </c>
      <c r="P8" s="11" t="s">
        <v>17</v>
      </c>
      <c r="Q8" s="4">
        <v>8.0555555555555554</v>
      </c>
      <c r="R8" s="5" t="s">
        <v>701</v>
      </c>
      <c r="S8" s="5" t="b">
        <f t="shared" si="0"/>
        <v>1</v>
      </c>
    </row>
    <row r="9" spans="1:19" s="5" customFormat="1" ht="42" customHeight="1">
      <c r="A9" s="2">
        <v>7</v>
      </c>
      <c r="B9" s="12">
        <v>2544640116</v>
      </c>
      <c r="C9" s="12">
        <v>250371529009</v>
      </c>
      <c r="D9" s="17">
        <f t="shared" si="1"/>
        <v>250529</v>
      </c>
      <c r="E9" s="13" t="s">
        <v>702</v>
      </c>
      <c r="F9" s="12" t="s">
        <v>27</v>
      </c>
      <c r="G9" s="19" t="s">
        <v>15</v>
      </c>
      <c r="H9" s="19" t="s">
        <v>34</v>
      </c>
      <c r="I9" s="20" t="s">
        <v>2</v>
      </c>
      <c r="J9" s="20" t="s">
        <v>8</v>
      </c>
      <c r="K9" s="20" t="s">
        <v>8</v>
      </c>
      <c r="L9" s="20" t="s">
        <v>8</v>
      </c>
      <c r="M9" s="20" t="s">
        <v>2</v>
      </c>
      <c r="N9" s="20" t="s">
        <v>2</v>
      </c>
      <c r="O9" s="20" t="s">
        <v>2</v>
      </c>
      <c r="P9" s="11" t="s">
        <v>17</v>
      </c>
      <c r="Q9" s="4">
        <v>9.5555555555555554</v>
      </c>
      <c r="R9" s="5" t="s">
        <v>702</v>
      </c>
      <c r="S9" s="5" t="b">
        <f t="shared" si="0"/>
        <v>1</v>
      </c>
    </row>
    <row r="10" spans="1:19" s="5" customFormat="1" ht="42" customHeight="1">
      <c r="A10" s="2">
        <v>8</v>
      </c>
      <c r="B10" s="12">
        <v>2544640994</v>
      </c>
      <c r="C10" s="12">
        <v>250371529011</v>
      </c>
      <c r="D10" s="17">
        <f t="shared" si="1"/>
        <v>250530</v>
      </c>
      <c r="E10" s="13" t="s">
        <v>703</v>
      </c>
      <c r="F10" s="12" t="s">
        <v>27</v>
      </c>
      <c r="G10" s="19" t="s">
        <v>15</v>
      </c>
      <c r="H10" s="19" t="s">
        <v>34</v>
      </c>
      <c r="I10" s="20" t="s">
        <v>2</v>
      </c>
      <c r="J10" s="20" t="s">
        <v>8</v>
      </c>
      <c r="K10" s="20" t="s">
        <v>2</v>
      </c>
      <c r="L10" s="20" t="s">
        <v>2</v>
      </c>
      <c r="M10" s="20" t="s">
        <v>2</v>
      </c>
      <c r="N10" s="20" t="s">
        <v>3</v>
      </c>
      <c r="O10" s="20" t="s">
        <v>2</v>
      </c>
      <c r="P10" s="11" t="s">
        <v>17</v>
      </c>
      <c r="Q10" s="4">
        <v>9</v>
      </c>
      <c r="R10" s="5" t="s">
        <v>703</v>
      </c>
      <c r="S10" s="5" t="b">
        <f t="shared" si="0"/>
        <v>1</v>
      </c>
    </row>
    <row r="11" spans="1:19" s="5" customFormat="1" ht="42" customHeight="1">
      <c r="A11" s="2">
        <v>9</v>
      </c>
      <c r="B11" s="12">
        <v>2544640798</v>
      </c>
      <c r="C11" s="12">
        <v>250371529012</v>
      </c>
      <c r="D11" s="17">
        <f t="shared" si="1"/>
        <v>250531</v>
      </c>
      <c r="E11" s="13" t="s">
        <v>704</v>
      </c>
      <c r="F11" s="12" t="s">
        <v>27</v>
      </c>
      <c r="G11" s="19" t="s">
        <v>15</v>
      </c>
      <c r="H11" s="19" t="s">
        <v>34</v>
      </c>
      <c r="I11" s="20" t="s">
        <v>3</v>
      </c>
      <c r="J11" s="20" t="s">
        <v>8</v>
      </c>
      <c r="K11" s="20" t="s">
        <v>2</v>
      </c>
      <c r="L11" s="20" t="s">
        <v>2</v>
      </c>
      <c r="M11" s="20" t="s">
        <v>2</v>
      </c>
      <c r="N11" s="20" t="s">
        <v>3</v>
      </c>
      <c r="O11" s="20" t="s">
        <v>2</v>
      </c>
      <c r="P11" s="11" t="s">
        <v>17</v>
      </c>
      <c r="Q11" s="4">
        <v>8.8333333333333339</v>
      </c>
      <c r="R11" s="5" t="s">
        <v>704</v>
      </c>
      <c r="S11" s="5" t="b">
        <f t="shared" si="0"/>
        <v>1</v>
      </c>
    </row>
    <row r="12" spans="1:19" s="5" customFormat="1" ht="42" customHeight="1">
      <c r="A12" s="2">
        <v>10</v>
      </c>
      <c r="B12" s="12">
        <v>2544640187</v>
      </c>
      <c r="C12" s="12">
        <v>250371529013</v>
      </c>
      <c r="D12" s="17">
        <f t="shared" si="1"/>
        <v>250532</v>
      </c>
      <c r="E12" s="13" t="s">
        <v>705</v>
      </c>
      <c r="F12" s="12" t="s">
        <v>27</v>
      </c>
      <c r="G12" s="19" t="s">
        <v>15</v>
      </c>
      <c r="H12" s="19" t="s">
        <v>34</v>
      </c>
      <c r="I12" s="20" t="s">
        <v>2</v>
      </c>
      <c r="J12" s="20" t="s">
        <v>8</v>
      </c>
      <c r="K12" s="20" t="s">
        <v>8</v>
      </c>
      <c r="L12" s="20" t="s">
        <v>8</v>
      </c>
      <c r="M12" s="20" t="s">
        <v>8</v>
      </c>
      <c r="N12" s="20" t="s">
        <v>2</v>
      </c>
      <c r="O12" s="20" t="s">
        <v>8</v>
      </c>
      <c r="P12" s="11" t="s">
        <v>17</v>
      </c>
      <c r="Q12" s="4">
        <v>9.6666666666666661</v>
      </c>
      <c r="R12" s="5" t="s">
        <v>705</v>
      </c>
      <c r="S12" s="5" t="b">
        <f t="shared" si="0"/>
        <v>1</v>
      </c>
    </row>
    <row r="13" spans="1:19" s="5" customFormat="1" ht="42" customHeight="1">
      <c r="A13" s="2">
        <v>11</v>
      </c>
      <c r="B13" s="12">
        <v>2544641107</v>
      </c>
      <c r="C13" s="12">
        <v>250371529015</v>
      </c>
      <c r="D13" s="17">
        <f t="shared" si="1"/>
        <v>250533</v>
      </c>
      <c r="E13" s="13" t="s">
        <v>706</v>
      </c>
      <c r="F13" s="12" t="s">
        <v>27</v>
      </c>
      <c r="G13" s="19" t="s">
        <v>15</v>
      </c>
      <c r="H13" s="19" t="s">
        <v>34</v>
      </c>
      <c r="I13" s="20" t="s">
        <v>3</v>
      </c>
      <c r="J13" s="20" t="s">
        <v>8</v>
      </c>
      <c r="K13" s="20" t="s">
        <v>2</v>
      </c>
      <c r="L13" s="20" t="s">
        <v>3</v>
      </c>
      <c r="M13" s="20" t="s">
        <v>3</v>
      </c>
      <c r="N13" s="20" t="s">
        <v>2</v>
      </c>
      <c r="O13" s="20" t="s">
        <v>2</v>
      </c>
      <c r="P13" s="11" t="s">
        <v>17</v>
      </c>
      <c r="Q13" s="4">
        <v>8.7777777777777786</v>
      </c>
      <c r="R13" s="5" t="s">
        <v>706</v>
      </c>
      <c r="S13" s="5" t="b">
        <f t="shared" si="0"/>
        <v>1</v>
      </c>
    </row>
    <row r="14" spans="1:19" s="5" customFormat="1" ht="42" customHeight="1">
      <c r="A14" s="2">
        <v>12</v>
      </c>
      <c r="B14" s="12">
        <v>2544640887</v>
      </c>
      <c r="C14" s="12">
        <v>250371529016</v>
      </c>
      <c r="D14" s="17">
        <f t="shared" si="1"/>
        <v>250534</v>
      </c>
      <c r="E14" s="13" t="s">
        <v>707</v>
      </c>
      <c r="F14" s="12" t="s">
        <v>27</v>
      </c>
      <c r="G14" s="19" t="s">
        <v>15</v>
      </c>
      <c r="H14" s="19" t="s">
        <v>34</v>
      </c>
      <c r="I14" s="20" t="s">
        <v>11</v>
      </c>
      <c r="J14" s="20" t="s">
        <v>6</v>
      </c>
      <c r="K14" s="20" t="s">
        <v>6</v>
      </c>
      <c r="L14" s="20" t="s">
        <v>7</v>
      </c>
      <c r="M14" s="20" t="s">
        <v>4</v>
      </c>
      <c r="N14" s="20" t="s">
        <v>7</v>
      </c>
      <c r="O14" s="20" t="s">
        <v>3</v>
      </c>
      <c r="P14" s="11" t="s">
        <v>7</v>
      </c>
      <c r="Q14" s="4">
        <v>0</v>
      </c>
      <c r="R14" s="5" t="s">
        <v>707</v>
      </c>
      <c r="S14" s="5" t="b">
        <f t="shared" si="0"/>
        <v>1</v>
      </c>
    </row>
    <row r="15" spans="1:19" s="5" customFormat="1" ht="42" customHeight="1">
      <c r="A15" s="2">
        <v>13</v>
      </c>
      <c r="B15" s="12">
        <v>2544640375</v>
      </c>
      <c r="C15" s="12">
        <v>250371529017</v>
      </c>
      <c r="D15" s="17">
        <f t="shared" si="1"/>
        <v>250535</v>
      </c>
      <c r="E15" s="13" t="s">
        <v>708</v>
      </c>
      <c r="F15" s="12" t="s">
        <v>27</v>
      </c>
      <c r="G15" s="19" t="s">
        <v>15</v>
      </c>
      <c r="H15" s="19" t="s">
        <v>34</v>
      </c>
      <c r="I15" s="20" t="s">
        <v>3</v>
      </c>
      <c r="J15" s="20" t="s">
        <v>2</v>
      </c>
      <c r="K15" s="20" t="s">
        <v>2</v>
      </c>
      <c r="L15" s="20" t="s">
        <v>2</v>
      </c>
      <c r="M15" s="20" t="s">
        <v>2</v>
      </c>
      <c r="N15" s="20" t="s">
        <v>4</v>
      </c>
      <c r="O15" s="20" t="s">
        <v>2</v>
      </c>
      <c r="P15" s="11" t="s">
        <v>17</v>
      </c>
      <c r="Q15" s="4">
        <v>8.5</v>
      </c>
      <c r="R15" s="5" t="s">
        <v>708</v>
      </c>
      <c r="S15" s="5" t="b">
        <f t="shared" si="0"/>
        <v>1</v>
      </c>
    </row>
    <row r="16" spans="1:19" s="5" customFormat="1" ht="42" customHeight="1">
      <c r="A16" s="2">
        <v>14</v>
      </c>
      <c r="B16" s="12">
        <v>2544640011</v>
      </c>
      <c r="C16" s="12">
        <v>250371529018</v>
      </c>
      <c r="D16" s="17">
        <f t="shared" si="1"/>
        <v>250536</v>
      </c>
      <c r="E16" s="13" t="s">
        <v>709</v>
      </c>
      <c r="F16" s="12" t="s">
        <v>27</v>
      </c>
      <c r="G16" s="19" t="s">
        <v>15</v>
      </c>
      <c r="H16" s="19" t="s">
        <v>34</v>
      </c>
      <c r="I16" s="20" t="s">
        <v>3</v>
      </c>
      <c r="J16" s="20" t="s">
        <v>3</v>
      </c>
      <c r="K16" s="20" t="s">
        <v>3</v>
      </c>
      <c r="L16" s="20" t="s">
        <v>2</v>
      </c>
      <c r="M16" s="20" t="s">
        <v>2</v>
      </c>
      <c r="N16" s="20" t="s">
        <v>4</v>
      </c>
      <c r="O16" s="20" t="s">
        <v>2</v>
      </c>
      <c r="P16" s="11" t="s">
        <v>17</v>
      </c>
      <c r="Q16" s="4">
        <v>8.1111111111111107</v>
      </c>
      <c r="R16" s="5" t="s">
        <v>709</v>
      </c>
      <c r="S16" s="5" t="b">
        <f t="shared" si="0"/>
        <v>1</v>
      </c>
    </row>
    <row r="17" spans="1:19" s="5" customFormat="1" ht="42" customHeight="1">
      <c r="A17" s="2">
        <v>15</v>
      </c>
      <c r="B17" s="12">
        <v>2544640185</v>
      </c>
      <c r="C17" s="12">
        <v>250371529021</v>
      </c>
      <c r="D17" s="17">
        <f t="shared" si="1"/>
        <v>250537</v>
      </c>
      <c r="E17" s="13" t="s">
        <v>710</v>
      </c>
      <c r="F17" s="12" t="s">
        <v>27</v>
      </c>
      <c r="G17" s="19" t="s">
        <v>15</v>
      </c>
      <c r="H17" s="19" t="s">
        <v>34</v>
      </c>
      <c r="I17" s="20" t="s">
        <v>4</v>
      </c>
      <c r="J17" s="20" t="s">
        <v>2</v>
      </c>
      <c r="K17" s="20" t="s">
        <v>4</v>
      </c>
      <c r="L17" s="20" t="s">
        <v>4</v>
      </c>
      <c r="M17" s="20" t="s">
        <v>4</v>
      </c>
      <c r="N17" s="20" t="s">
        <v>11</v>
      </c>
      <c r="O17" s="20" t="s">
        <v>4</v>
      </c>
      <c r="P17" s="11" t="s">
        <v>17</v>
      </c>
      <c r="Q17" s="4">
        <v>6.833333333333333</v>
      </c>
      <c r="R17" s="5" t="s">
        <v>710</v>
      </c>
      <c r="S17" s="5" t="b">
        <f t="shared" si="0"/>
        <v>1</v>
      </c>
    </row>
    <row r="18" spans="1:19" s="5" customFormat="1" ht="42" customHeight="1">
      <c r="A18" s="2">
        <v>16</v>
      </c>
      <c r="B18" s="12">
        <v>2544640961</v>
      </c>
      <c r="C18" s="12">
        <v>250371529022</v>
      </c>
      <c r="D18" s="17">
        <f t="shared" si="1"/>
        <v>250538</v>
      </c>
      <c r="E18" s="13" t="s">
        <v>711</v>
      </c>
      <c r="F18" s="12" t="s">
        <v>27</v>
      </c>
      <c r="G18" s="19" t="s">
        <v>15</v>
      </c>
      <c r="H18" s="19" t="s">
        <v>34</v>
      </c>
      <c r="I18" s="20" t="s">
        <v>3</v>
      </c>
      <c r="J18" s="20" t="s">
        <v>3</v>
      </c>
      <c r="K18" s="20" t="s">
        <v>5</v>
      </c>
      <c r="L18" s="20" t="s">
        <v>4</v>
      </c>
      <c r="M18" s="20" t="s">
        <v>3</v>
      </c>
      <c r="N18" s="20" t="s">
        <v>4</v>
      </c>
      <c r="O18" s="20" t="s">
        <v>3</v>
      </c>
      <c r="P18" s="11" t="s">
        <v>17</v>
      </c>
      <c r="Q18" s="4">
        <v>7.2222222222222223</v>
      </c>
      <c r="R18" s="5" t="s">
        <v>711</v>
      </c>
      <c r="S18" s="5" t="b">
        <f t="shared" si="0"/>
        <v>1</v>
      </c>
    </row>
    <row r="19" spans="1:19" s="5" customFormat="1" ht="42" customHeight="1">
      <c r="A19" s="2">
        <v>17</v>
      </c>
      <c r="B19" s="12">
        <v>2544640213</v>
      </c>
      <c r="C19" s="12">
        <v>250371529028</v>
      </c>
      <c r="D19" s="17">
        <f t="shared" si="1"/>
        <v>250539</v>
      </c>
      <c r="E19" s="13" t="s">
        <v>712</v>
      </c>
      <c r="F19" s="12" t="s">
        <v>27</v>
      </c>
      <c r="G19" s="19" t="s">
        <v>15</v>
      </c>
      <c r="H19" s="19" t="s">
        <v>34</v>
      </c>
      <c r="I19" s="20" t="s">
        <v>4</v>
      </c>
      <c r="J19" s="20" t="s">
        <v>2</v>
      </c>
      <c r="K19" s="20" t="s">
        <v>6</v>
      </c>
      <c r="L19" s="20" t="s">
        <v>4</v>
      </c>
      <c r="M19" s="20" t="s">
        <v>3</v>
      </c>
      <c r="N19" s="20" t="s">
        <v>6</v>
      </c>
      <c r="O19" s="20" t="s">
        <v>3</v>
      </c>
      <c r="P19" s="11" t="s">
        <v>17</v>
      </c>
      <c r="Q19" s="4">
        <v>6.666666666666667</v>
      </c>
      <c r="R19" s="5" t="s">
        <v>712</v>
      </c>
      <c r="S19" s="5" t="b">
        <f t="shared" si="0"/>
        <v>1</v>
      </c>
    </row>
    <row r="20" spans="1:19" s="5" customFormat="1" ht="42" customHeight="1">
      <c r="A20" s="2">
        <v>18</v>
      </c>
      <c r="B20" s="12">
        <v>2544640031</v>
      </c>
      <c r="C20" s="12">
        <v>250371529031</v>
      </c>
      <c r="D20" s="17">
        <f t="shared" si="1"/>
        <v>250540</v>
      </c>
      <c r="E20" s="13" t="s">
        <v>713</v>
      </c>
      <c r="F20" s="12" t="s">
        <v>27</v>
      </c>
      <c r="G20" s="19" t="s">
        <v>15</v>
      </c>
      <c r="H20" s="19" t="s">
        <v>34</v>
      </c>
      <c r="I20" s="20" t="s">
        <v>2</v>
      </c>
      <c r="J20" s="20" t="s">
        <v>2</v>
      </c>
      <c r="K20" s="20" t="s">
        <v>2</v>
      </c>
      <c r="L20" s="20" t="s">
        <v>8</v>
      </c>
      <c r="M20" s="20" t="s">
        <v>2</v>
      </c>
      <c r="N20" s="20" t="s">
        <v>2</v>
      </c>
      <c r="O20" s="20" t="s">
        <v>2</v>
      </c>
      <c r="P20" s="11" t="s">
        <v>17</v>
      </c>
      <c r="Q20" s="4">
        <v>9.1666666666666661</v>
      </c>
      <c r="R20" s="5" t="s">
        <v>713</v>
      </c>
      <c r="S20" s="5" t="b">
        <f t="shared" si="0"/>
        <v>1</v>
      </c>
    </row>
    <row r="21" spans="1:19" s="5" customFormat="1" ht="42" customHeight="1">
      <c r="A21" s="2">
        <v>19</v>
      </c>
      <c r="B21" s="12">
        <v>2544640881</v>
      </c>
      <c r="C21" s="12">
        <v>250371529032</v>
      </c>
      <c r="D21" s="17">
        <f t="shared" si="1"/>
        <v>250541</v>
      </c>
      <c r="E21" s="13" t="s">
        <v>714</v>
      </c>
      <c r="F21" s="12" t="s">
        <v>27</v>
      </c>
      <c r="G21" s="19" t="s">
        <v>15</v>
      </c>
      <c r="H21" s="19" t="s">
        <v>34</v>
      </c>
      <c r="I21" s="20" t="s">
        <v>3</v>
      </c>
      <c r="J21" s="20" t="s">
        <v>4</v>
      </c>
      <c r="K21" s="20" t="s">
        <v>6</v>
      </c>
      <c r="L21" s="20" t="s">
        <v>4</v>
      </c>
      <c r="M21" s="20" t="s">
        <v>4</v>
      </c>
      <c r="N21" s="20" t="s">
        <v>4</v>
      </c>
      <c r="O21" s="20" t="s">
        <v>4</v>
      </c>
      <c r="P21" s="11" t="s">
        <v>17</v>
      </c>
      <c r="Q21" s="4">
        <v>6.7222222222222223</v>
      </c>
      <c r="R21" s="5" t="s">
        <v>714</v>
      </c>
      <c r="S21" s="5" t="b">
        <f t="shared" si="0"/>
        <v>1</v>
      </c>
    </row>
    <row r="22" spans="1:19" s="5" customFormat="1" ht="42" customHeight="1">
      <c r="A22" s="2">
        <v>20</v>
      </c>
      <c r="B22" s="12">
        <v>2544640871</v>
      </c>
      <c r="C22" s="12">
        <v>250371529033</v>
      </c>
      <c r="D22" s="17">
        <f t="shared" si="1"/>
        <v>250542</v>
      </c>
      <c r="E22" s="13" t="s">
        <v>715</v>
      </c>
      <c r="F22" s="12" t="s">
        <v>27</v>
      </c>
      <c r="G22" s="19" t="s">
        <v>15</v>
      </c>
      <c r="H22" s="19" t="s">
        <v>34</v>
      </c>
      <c r="I22" s="20" t="s">
        <v>4</v>
      </c>
      <c r="J22" s="20" t="s">
        <v>8</v>
      </c>
      <c r="K22" s="20" t="s">
        <v>5</v>
      </c>
      <c r="L22" s="20" t="s">
        <v>5</v>
      </c>
      <c r="M22" s="20" t="s">
        <v>2</v>
      </c>
      <c r="N22" s="20" t="s">
        <v>4</v>
      </c>
      <c r="O22" s="20" t="s">
        <v>2</v>
      </c>
      <c r="P22" s="11" t="s">
        <v>17</v>
      </c>
      <c r="Q22" s="4">
        <v>7.333333333333333</v>
      </c>
      <c r="R22" s="5" t="s">
        <v>715</v>
      </c>
      <c r="S22" s="5" t="b">
        <f t="shared" si="0"/>
        <v>1</v>
      </c>
    </row>
    <row r="23" spans="1:19" s="5" customFormat="1" ht="42" customHeight="1">
      <c r="A23" s="2">
        <v>21</v>
      </c>
      <c r="B23" s="12">
        <v>2544640582</v>
      </c>
      <c r="C23" s="12">
        <v>250371529034</v>
      </c>
      <c r="D23" s="17">
        <f t="shared" si="1"/>
        <v>250543</v>
      </c>
      <c r="E23" s="13" t="s">
        <v>716</v>
      </c>
      <c r="F23" s="12" t="s">
        <v>27</v>
      </c>
      <c r="G23" s="19" t="s">
        <v>15</v>
      </c>
      <c r="H23" s="19" t="s">
        <v>34</v>
      </c>
      <c r="I23" s="20" t="s">
        <v>3</v>
      </c>
      <c r="J23" s="20" t="s">
        <v>8</v>
      </c>
      <c r="K23" s="20" t="s">
        <v>3</v>
      </c>
      <c r="L23" s="20" t="s">
        <v>8</v>
      </c>
      <c r="M23" s="20" t="s">
        <v>8</v>
      </c>
      <c r="N23" s="20" t="s">
        <v>3</v>
      </c>
      <c r="O23" s="20" t="s">
        <v>8</v>
      </c>
      <c r="P23" s="11" t="s">
        <v>17</v>
      </c>
      <c r="Q23" s="4">
        <v>8.8888888888888893</v>
      </c>
      <c r="R23" s="5" t="s">
        <v>716</v>
      </c>
      <c r="S23" s="5" t="b">
        <f t="shared" si="0"/>
        <v>1</v>
      </c>
    </row>
    <row r="24" spans="1:19" s="5" customFormat="1" ht="42" customHeight="1">
      <c r="A24" s="2">
        <v>22</v>
      </c>
      <c r="B24" s="12">
        <v>2544640872</v>
      </c>
      <c r="C24" s="12">
        <v>250371529036</v>
      </c>
      <c r="D24" s="17">
        <f t="shared" si="1"/>
        <v>250544</v>
      </c>
      <c r="E24" s="13" t="s">
        <v>717</v>
      </c>
      <c r="F24" s="12" t="s">
        <v>27</v>
      </c>
      <c r="G24" s="19" t="s">
        <v>15</v>
      </c>
      <c r="H24" s="19" t="s">
        <v>34</v>
      </c>
      <c r="I24" s="20" t="s">
        <v>4</v>
      </c>
      <c r="J24" s="20" t="s">
        <v>8</v>
      </c>
      <c r="K24" s="20" t="s">
        <v>4</v>
      </c>
      <c r="L24" s="20" t="s">
        <v>2</v>
      </c>
      <c r="M24" s="20" t="s">
        <v>2</v>
      </c>
      <c r="N24" s="20" t="s">
        <v>3</v>
      </c>
      <c r="O24" s="20" t="s">
        <v>2</v>
      </c>
      <c r="P24" s="11" t="s">
        <v>17</v>
      </c>
      <c r="Q24" s="4">
        <v>8.2222222222222214</v>
      </c>
      <c r="R24" s="5" t="s">
        <v>717</v>
      </c>
      <c r="S24" s="5" t="b">
        <f t="shared" si="0"/>
        <v>1</v>
      </c>
    </row>
    <row r="25" spans="1:19" s="5" customFormat="1" ht="42" customHeight="1">
      <c r="A25" s="2">
        <v>23</v>
      </c>
      <c r="B25" s="12">
        <v>2544640410</v>
      </c>
      <c r="C25" s="12">
        <v>250371529039</v>
      </c>
      <c r="D25" s="17">
        <f t="shared" si="1"/>
        <v>250545</v>
      </c>
      <c r="E25" s="13" t="s">
        <v>718</v>
      </c>
      <c r="F25" s="12" t="s">
        <v>27</v>
      </c>
      <c r="G25" s="19" t="s">
        <v>15</v>
      </c>
      <c r="H25" s="19" t="s">
        <v>34</v>
      </c>
      <c r="I25" s="20" t="s">
        <v>4</v>
      </c>
      <c r="J25" s="20" t="s">
        <v>4</v>
      </c>
      <c r="K25" s="20" t="s">
        <v>5</v>
      </c>
      <c r="L25" s="20" t="s">
        <v>6</v>
      </c>
      <c r="M25" s="20" t="s">
        <v>4</v>
      </c>
      <c r="N25" s="20" t="s">
        <v>4</v>
      </c>
      <c r="O25" s="20" t="s">
        <v>3</v>
      </c>
      <c r="P25" s="11" t="s">
        <v>7</v>
      </c>
      <c r="Q25" s="4">
        <v>6.5</v>
      </c>
      <c r="R25" s="5" t="s">
        <v>718</v>
      </c>
      <c r="S25" s="5" t="b">
        <f t="shared" si="0"/>
        <v>1</v>
      </c>
    </row>
    <row r="26" spans="1:19" s="5" customFormat="1" ht="42" customHeight="1">
      <c r="A26" s="2">
        <v>24</v>
      </c>
      <c r="B26" s="12">
        <v>2544640131</v>
      </c>
      <c r="C26" s="12">
        <v>250371529041</v>
      </c>
      <c r="D26" s="17">
        <f t="shared" si="1"/>
        <v>250546</v>
      </c>
      <c r="E26" s="13" t="s">
        <v>719</v>
      </c>
      <c r="F26" s="12" t="s">
        <v>27</v>
      </c>
      <c r="G26" s="19" t="s">
        <v>15</v>
      </c>
      <c r="H26" s="19" t="s">
        <v>34</v>
      </c>
      <c r="I26" s="20" t="s">
        <v>4</v>
      </c>
      <c r="J26" s="20" t="s">
        <v>2</v>
      </c>
      <c r="K26" s="20" t="s">
        <v>6</v>
      </c>
      <c r="L26" s="20" t="s">
        <v>4</v>
      </c>
      <c r="M26" s="20" t="s">
        <v>3</v>
      </c>
      <c r="N26" s="20" t="s">
        <v>4</v>
      </c>
      <c r="O26" s="20" t="s">
        <v>3</v>
      </c>
      <c r="P26" s="11" t="s">
        <v>17</v>
      </c>
      <c r="Q26" s="4">
        <v>7</v>
      </c>
      <c r="R26" s="5" t="s">
        <v>719</v>
      </c>
      <c r="S26" s="5" t="b">
        <f t="shared" si="0"/>
        <v>1</v>
      </c>
    </row>
    <row r="27" spans="1:19" s="5" customFormat="1" ht="42" customHeight="1">
      <c r="A27" s="2">
        <v>25</v>
      </c>
      <c r="B27" s="12">
        <v>2544640045</v>
      </c>
      <c r="C27" s="12">
        <v>250371529042</v>
      </c>
      <c r="D27" s="17">
        <f t="shared" si="1"/>
        <v>250547</v>
      </c>
      <c r="E27" s="13" t="s">
        <v>720</v>
      </c>
      <c r="F27" s="12" t="s">
        <v>27</v>
      </c>
      <c r="G27" s="19" t="s">
        <v>15</v>
      </c>
      <c r="H27" s="19" t="s">
        <v>34</v>
      </c>
      <c r="I27" s="20" t="s">
        <v>2</v>
      </c>
      <c r="J27" s="20" t="s">
        <v>8</v>
      </c>
      <c r="K27" s="20" t="s">
        <v>3</v>
      </c>
      <c r="L27" s="20" t="s">
        <v>8</v>
      </c>
      <c r="M27" s="20" t="s">
        <v>8</v>
      </c>
      <c r="N27" s="20" t="s">
        <v>3</v>
      </c>
      <c r="O27" s="20" t="s">
        <v>8</v>
      </c>
      <c r="P27" s="11" t="s">
        <v>17</v>
      </c>
      <c r="Q27" s="4">
        <v>9.0555555555555554</v>
      </c>
      <c r="R27" s="5" t="s">
        <v>720</v>
      </c>
      <c r="S27" s="5" t="b">
        <f t="shared" si="0"/>
        <v>1</v>
      </c>
    </row>
    <row r="28" spans="1:19" s="5" customFormat="1" ht="42" customHeight="1">
      <c r="A28" s="2">
        <v>26</v>
      </c>
      <c r="B28" s="12">
        <v>2544640580</v>
      </c>
      <c r="C28" s="12">
        <v>250371529044</v>
      </c>
      <c r="D28" s="17">
        <f t="shared" si="1"/>
        <v>250548</v>
      </c>
      <c r="E28" s="13" t="s">
        <v>721</v>
      </c>
      <c r="F28" s="12" t="s">
        <v>27</v>
      </c>
      <c r="G28" s="19" t="s">
        <v>15</v>
      </c>
      <c r="H28" s="19" t="s">
        <v>34</v>
      </c>
      <c r="I28" s="20" t="s">
        <v>3</v>
      </c>
      <c r="J28" s="20" t="s">
        <v>2</v>
      </c>
      <c r="K28" s="20" t="s">
        <v>4</v>
      </c>
      <c r="L28" s="20" t="s">
        <v>8</v>
      </c>
      <c r="M28" s="20" t="s">
        <v>2</v>
      </c>
      <c r="N28" s="20" t="s">
        <v>4</v>
      </c>
      <c r="O28" s="20" t="s">
        <v>2</v>
      </c>
      <c r="P28" s="11" t="s">
        <v>17</v>
      </c>
      <c r="Q28" s="4">
        <v>8.2222222222222214</v>
      </c>
      <c r="R28" s="5" t="s">
        <v>721</v>
      </c>
      <c r="S28" s="5" t="b">
        <f t="shared" si="0"/>
        <v>1</v>
      </c>
    </row>
    <row r="29" spans="1:19" s="5" customFormat="1" ht="42" customHeight="1">
      <c r="A29" s="2">
        <v>27</v>
      </c>
      <c r="B29" s="12">
        <v>2544640078</v>
      </c>
      <c r="C29" s="12">
        <v>250371529046</v>
      </c>
      <c r="D29" s="17">
        <f t="shared" si="1"/>
        <v>250549</v>
      </c>
      <c r="E29" s="13" t="s">
        <v>722</v>
      </c>
      <c r="F29" s="12" t="s">
        <v>27</v>
      </c>
      <c r="G29" s="19" t="s">
        <v>15</v>
      </c>
      <c r="H29" s="19" t="s">
        <v>34</v>
      </c>
      <c r="I29" s="20" t="s">
        <v>4</v>
      </c>
      <c r="J29" s="20" t="s">
        <v>8</v>
      </c>
      <c r="K29" s="20" t="s">
        <v>4</v>
      </c>
      <c r="L29" s="20" t="s">
        <v>5</v>
      </c>
      <c r="M29" s="20" t="s">
        <v>5</v>
      </c>
      <c r="N29" s="20" t="s">
        <v>6</v>
      </c>
      <c r="O29" s="20" t="s">
        <v>5</v>
      </c>
      <c r="P29" s="11" t="s">
        <v>17</v>
      </c>
      <c r="Q29" s="4">
        <v>6.8888888888888893</v>
      </c>
      <c r="R29" s="5" t="s">
        <v>722</v>
      </c>
      <c r="S29" s="5" t="b">
        <f t="shared" si="0"/>
        <v>1</v>
      </c>
    </row>
    <row r="30" spans="1:19" s="5" customFormat="1" ht="42" customHeight="1">
      <c r="A30" s="2">
        <v>28</v>
      </c>
      <c r="B30" s="12">
        <v>2544640967</v>
      </c>
      <c r="C30" s="12">
        <v>250371529047</v>
      </c>
      <c r="D30" s="17">
        <f t="shared" si="1"/>
        <v>250550</v>
      </c>
      <c r="E30" s="13" t="s">
        <v>723</v>
      </c>
      <c r="F30" s="12" t="s">
        <v>27</v>
      </c>
      <c r="G30" s="19" t="s">
        <v>15</v>
      </c>
      <c r="H30" s="19" t="s">
        <v>34</v>
      </c>
      <c r="I30" s="20" t="s">
        <v>2</v>
      </c>
      <c r="J30" s="20" t="s">
        <v>8</v>
      </c>
      <c r="K30" s="20" t="s">
        <v>2</v>
      </c>
      <c r="L30" s="20" t="s">
        <v>8</v>
      </c>
      <c r="M30" s="20" t="s">
        <v>2</v>
      </c>
      <c r="N30" s="20" t="s">
        <v>3</v>
      </c>
      <c r="O30" s="20" t="s">
        <v>2</v>
      </c>
      <c r="P30" s="11" t="s">
        <v>17</v>
      </c>
      <c r="Q30" s="4">
        <v>9.1666666666666661</v>
      </c>
      <c r="R30" s="5" t="s">
        <v>723</v>
      </c>
      <c r="S30" s="5" t="b">
        <f t="shared" si="0"/>
        <v>1</v>
      </c>
    </row>
    <row r="31" spans="1:19" s="5" customFormat="1" ht="42" customHeight="1">
      <c r="A31" s="2">
        <v>29</v>
      </c>
      <c r="B31" s="12">
        <v>2544640337</v>
      </c>
      <c r="C31" s="12">
        <v>250371529048</v>
      </c>
      <c r="D31" s="17">
        <f t="shared" si="1"/>
        <v>250551</v>
      </c>
      <c r="E31" s="13" t="s">
        <v>724</v>
      </c>
      <c r="F31" s="12" t="s">
        <v>27</v>
      </c>
      <c r="G31" s="19" t="s">
        <v>15</v>
      </c>
      <c r="H31" s="19" t="s">
        <v>34</v>
      </c>
      <c r="I31" s="20" t="s">
        <v>3</v>
      </c>
      <c r="J31" s="20" t="s">
        <v>8</v>
      </c>
      <c r="K31" s="20" t="s">
        <v>2</v>
      </c>
      <c r="L31" s="20" t="s">
        <v>8</v>
      </c>
      <c r="M31" s="20" t="s">
        <v>8</v>
      </c>
      <c r="N31" s="20" t="s">
        <v>3</v>
      </c>
      <c r="O31" s="20" t="s">
        <v>8</v>
      </c>
      <c r="P31" s="11" t="s">
        <v>17</v>
      </c>
      <c r="Q31" s="4">
        <v>9.1111111111111107</v>
      </c>
      <c r="R31" s="5" t="s">
        <v>724</v>
      </c>
      <c r="S31" s="5" t="b">
        <f t="shared" si="0"/>
        <v>1</v>
      </c>
    </row>
    <row r="32" spans="1:19" s="5" customFormat="1" ht="42" customHeight="1">
      <c r="A32" s="2">
        <v>30</v>
      </c>
      <c r="B32" s="12">
        <v>2544640980</v>
      </c>
      <c r="C32" s="12">
        <v>250371529049</v>
      </c>
      <c r="D32" s="17">
        <f t="shared" si="1"/>
        <v>250552</v>
      </c>
      <c r="E32" s="13" t="s">
        <v>725</v>
      </c>
      <c r="F32" s="12" t="s">
        <v>27</v>
      </c>
      <c r="G32" s="19" t="s">
        <v>15</v>
      </c>
      <c r="H32" s="19" t="s">
        <v>34</v>
      </c>
      <c r="I32" s="20" t="s">
        <v>2</v>
      </c>
      <c r="J32" s="20" t="s">
        <v>8</v>
      </c>
      <c r="K32" s="20" t="s">
        <v>3</v>
      </c>
      <c r="L32" s="20" t="s">
        <v>2</v>
      </c>
      <c r="M32" s="20" t="s">
        <v>3</v>
      </c>
      <c r="N32" s="20" t="s">
        <v>4</v>
      </c>
      <c r="O32" s="20" t="s">
        <v>3</v>
      </c>
      <c r="P32" s="11" t="s">
        <v>17</v>
      </c>
      <c r="Q32" s="4">
        <v>8.5</v>
      </c>
      <c r="R32" s="5" t="s">
        <v>725</v>
      </c>
      <c r="S32" s="5" t="b">
        <f t="shared" si="0"/>
        <v>1</v>
      </c>
    </row>
    <row r="33" spans="1:19" s="5" customFormat="1" ht="42" customHeight="1">
      <c r="A33" s="2">
        <v>31</v>
      </c>
      <c r="B33" s="12">
        <v>2544641002</v>
      </c>
      <c r="C33" s="12">
        <v>250371529050</v>
      </c>
      <c r="D33" s="17">
        <f t="shared" si="1"/>
        <v>250553</v>
      </c>
      <c r="E33" s="13" t="s">
        <v>1549</v>
      </c>
      <c r="F33" s="12" t="s">
        <v>27</v>
      </c>
      <c r="G33" s="19" t="s">
        <v>15</v>
      </c>
      <c r="H33" s="19" t="s">
        <v>34</v>
      </c>
      <c r="I33" s="20" t="s">
        <v>3</v>
      </c>
      <c r="J33" s="20" t="s">
        <v>8</v>
      </c>
      <c r="K33" s="20" t="s">
        <v>3</v>
      </c>
      <c r="L33" s="20" t="s">
        <v>2</v>
      </c>
      <c r="M33" s="20" t="s">
        <v>2</v>
      </c>
      <c r="N33" s="20" t="s">
        <v>3</v>
      </c>
      <c r="O33" s="20" t="s">
        <v>2</v>
      </c>
      <c r="P33" s="11" t="s">
        <v>17</v>
      </c>
      <c r="Q33" s="4">
        <v>8.6111111111111107</v>
      </c>
      <c r="R33" s="5" t="s">
        <v>1549</v>
      </c>
      <c r="S33" s="5" t="b">
        <f t="shared" si="0"/>
        <v>1</v>
      </c>
    </row>
  </sheetData>
  <autoFilter ref="A2:S2">
    <filterColumn colId="3"/>
  </autoFilter>
  <mergeCells count="8">
    <mergeCell ref="H1:H2"/>
    <mergeCell ref="Q1:Q2"/>
    <mergeCell ref="A1:A2"/>
    <mergeCell ref="B1:B2"/>
    <mergeCell ref="C1:C2"/>
    <mergeCell ref="E1:E2"/>
    <mergeCell ref="F1:F2"/>
    <mergeCell ref="G1:G2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00B050"/>
  </sheetPr>
  <dimension ref="A1:S20"/>
  <sheetViews>
    <sheetView topLeftCell="A19" zoomScale="85" zoomScaleNormal="85" workbookViewId="0">
      <selection activeCell="D4" sqref="D4"/>
    </sheetView>
  </sheetViews>
  <sheetFormatPr defaultRowHeight="15"/>
  <cols>
    <col min="1" max="1" width="6.5703125" style="6" bestFit="1" customWidth="1"/>
    <col min="2" max="2" width="16.28515625" style="6" customWidth="1"/>
    <col min="3" max="4" width="22.140625" style="6" customWidth="1"/>
    <col min="5" max="5" width="44.5703125" style="6" customWidth="1"/>
    <col min="6" max="6" width="12.140625" style="9" customWidth="1"/>
    <col min="7" max="8" width="13.42578125" style="6" customWidth="1"/>
    <col min="9" max="9" width="17.85546875" style="6" customWidth="1"/>
    <col min="10" max="10" width="18.5703125" style="6" customWidth="1"/>
    <col min="11" max="11" width="18.85546875" style="6" customWidth="1"/>
    <col min="12" max="16" width="17.85546875" style="6" customWidth="1"/>
    <col min="17" max="17" width="9.140625" style="7" customWidth="1"/>
    <col min="18" max="18" width="73.85546875" style="6" customWidth="1"/>
    <col min="19" max="19" width="10.85546875" style="6" customWidth="1"/>
    <col min="20" max="16384" width="9.140625" style="6"/>
  </cols>
  <sheetData>
    <row r="1" spans="1:19" s="8" customFormat="1" ht="127.5" customHeight="1">
      <c r="A1" s="53" t="s">
        <v>1</v>
      </c>
      <c r="B1" s="53" t="s">
        <v>16</v>
      </c>
      <c r="C1" s="53" t="s">
        <v>12</v>
      </c>
      <c r="D1" s="49" t="s">
        <v>1520</v>
      </c>
      <c r="E1" s="53" t="s">
        <v>13</v>
      </c>
      <c r="F1" s="53" t="s">
        <v>14</v>
      </c>
      <c r="G1" s="53" t="s">
        <v>0</v>
      </c>
      <c r="H1" s="53" t="s">
        <v>31</v>
      </c>
      <c r="I1" s="1" t="s">
        <v>78</v>
      </c>
      <c r="J1" s="1" t="s">
        <v>83</v>
      </c>
      <c r="K1" s="1" t="s">
        <v>80</v>
      </c>
      <c r="L1" s="1" t="s">
        <v>692</v>
      </c>
      <c r="M1" s="1" t="s">
        <v>693</v>
      </c>
      <c r="N1" s="1" t="s">
        <v>694</v>
      </c>
      <c r="O1" s="1" t="s">
        <v>695</v>
      </c>
      <c r="P1" s="1" t="s">
        <v>10</v>
      </c>
      <c r="Q1" s="55" t="s">
        <v>9</v>
      </c>
    </row>
    <row r="2" spans="1:19" s="8" customFormat="1" ht="29.25" customHeight="1">
      <c r="A2" s="54"/>
      <c r="B2" s="54"/>
      <c r="C2" s="54"/>
      <c r="D2" s="50"/>
      <c r="E2" s="54"/>
      <c r="F2" s="54"/>
      <c r="G2" s="54"/>
      <c r="H2" s="54"/>
      <c r="I2" s="10">
        <v>3</v>
      </c>
      <c r="J2" s="10">
        <v>3</v>
      </c>
      <c r="K2" s="10">
        <v>4</v>
      </c>
      <c r="L2" s="10">
        <v>3</v>
      </c>
      <c r="M2" s="10">
        <v>3</v>
      </c>
      <c r="N2" s="10">
        <v>1</v>
      </c>
      <c r="O2" s="10">
        <v>1</v>
      </c>
      <c r="P2" s="10">
        <f>SUM(I2:O2)</f>
        <v>18</v>
      </c>
      <c r="Q2" s="56"/>
      <c r="R2" s="8" t="s">
        <v>1542</v>
      </c>
      <c r="S2" s="8" t="s">
        <v>1543</v>
      </c>
    </row>
    <row r="3" spans="1:19" s="5" customFormat="1" ht="42" customHeight="1">
      <c r="A3" s="2">
        <v>1</v>
      </c>
      <c r="B3" s="12">
        <v>2547680839</v>
      </c>
      <c r="C3" s="12">
        <v>250371529005</v>
      </c>
      <c r="D3" s="17">
        <v>250554</v>
      </c>
      <c r="E3" s="13" t="s">
        <v>726</v>
      </c>
      <c r="F3" s="12" t="s">
        <v>27</v>
      </c>
      <c r="G3" s="19" t="s">
        <v>15</v>
      </c>
      <c r="H3" s="19" t="s">
        <v>85</v>
      </c>
      <c r="I3" s="20" t="s">
        <v>3</v>
      </c>
      <c r="J3" s="20" t="s">
        <v>3</v>
      </c>
      <c r="K3" s="20" t="s">
        <v>3</v>
      </c>
      <c r="L3" s="20" t="s">
        <v>3</v>
      </c>
      <c r="M3" s="20" t="s">
        <v>4</v>
      </c>
      <c r="N3" s="20" t="s">
        <v>8</v>
      </c>
      <c r="O3" s="20" t="s">
        <v>8</v>
      </c>
      <c r="P3" s="11" t="s">
        <v>17</v>
      </c>
      <c r="Q3" s="4">
        <v>8.0555555555555554</v>
      </c>
      <c r="R3" s="5" t="s">
        <v>726</v>
      </c>
      <c r="S3" s="5" t="b">
        <f>R3=E3</f>
        <v>1</v>
      </c>
    </row>
    <row r="4" spans="1:19" s="5" customFormat="1" ht="42" customHeight="1">
      <c r="A4" s="2">
        <v>2</v>
      </c>
      <c r="B4" s="12">
        <v>2544641067</v>
      </c>
      <c r="C4" s="12">
        <v>250371529010</v>
      </c>
      <c r="D4" s="17">
        <f>D3+1</f>
        <v>250555</v>
      </c>
      <c r="E4" s="13" t="s">
        <v>727</v>
      </c>
      <c r="F4" s="12" t="s">
        <v>27</v>
      </c>
      <c r="G4" s="19" t="s">
        <v>15</v>
      </c>
      <c r="H4" s="19" t="s">
        <v>85</v>
      </c>
      <c r="I4" s="20" t="s">
        <v>3</v>
      </c>
      <c r="J4" s="20" t="s">
        <v>5</v>
      </c>
      <c r="K4" s="20" t="s">
        <v>3</v>
      </c>
      <c r="L4" s="20" t="s">
        <v>3</v>
      </c>
      <c r="M4" s="20" t="s">
        <v>4</v>
      </c>
      <c r="N4" s="20" t="s">
        <v>8</v>
      </c>
      <c r="O4" s="20" t="s">
        <v>8</v>
      </c>
      <c r="P4" s="11" t="s">
        <v>17</v>
      </c>
      <c r="Q4" s="4">
        <v>7.7222222222222223</v>
      </c>
      <c r="R4" s="5" t="s">
        <v>727</v>
      </c>
      <c r="S4" s="5" t="b">
        <f t="shared" ref="S4:S20" si="0">R4=E4</f>
        <v>1</v>
      </c>
    </row>
    <row r="5" spans="1:19" s="5" customFormat="1" ht="42" customHeight="1">
      <c r="A5" s="2">
        <v>3</v>
      </c>
      <c r="B5" s="12">
        <v>2544640703</v>
      </c>
      <c r="C5" s="12">
        <v>250371529014</v>
      </c>
      <c r="D5" s="17">
        <f t="shared" ref="D5:D20" si="1">D4+1</f>
        <v>250556</v>
      </c>
      <c r="E5" s="13" t="s">
        <v>728</v>
      </c>
      <c r="F5" s="12" t="s">
        <v>27</v>
      </c>
      <c r="G5" s="19" t="s">
        <v>15</v>
      </c>
      <c r="H5" s="19" t="s">
        <v>85</v>
      </c>
      <c r="I5" s="20" t="s">
        <v>4</v>
      </c>
      <c r="J5" s="20" t="s">
        <v>4</v>
      </c>
      <c r="K5" s="20" t="s">
        <v>4</v>
      </c>
      <c r="L5" s="20" t="s">
        <v>8</v>
      </c>
      <c r="M5" s="20" t="s">
        <v>3</v>
      </c>
      <c r="N5" s="20" t="s">
        <v>8</v>
      </c>
      <c r="O5" s="20" t="s">
        <v>8</v>
      </c>
      <c r="P5" s="11" t="s">
        <v>17</v>
      </c>
      <c r="Q5" s="4">
        <v>8</v>
      </c>
      <c r="R5" s="5" t="s">
        <v>728</v>
      </c>
      <c r="S5" s="5" t="b">
        <f t="shared" si="0"/>
        <v>1</v>
      </c>
    </row>
    <row r="6" spans="1:19" s="5" customFormat="1" ht="42" customHeight="1">
      <c r="A6" s="2">
        <v>4</v>
      </c>
      <c r="B6" s="12">
        <v>2544641056</v>
      </c>
      <c r="C6" s="12">
        <v>250371529019</v>
      </c>
      <c r="D6" s="17">
        <f t="shared" si="1"/>
        <v>250557</v>
      </c>
      <c r="E6" s="13" t="s">
        <v>729</v>
      </c>
      <c r="F6" s="12" t="s">
        <v>27</v>
      </c>
      <c r="G6" s="19" t="s">
        <v>15</v>
      </c>
      <c r="H6" s="19" t="s">
        <v>85</v>
      </c>
      <c r="I6" s="20" t="s">
        <v>4</v>
      </c>
      <c r="J6" s="20" t="s">
        <v>11</v>
      </c>
      <c r="K6" s="20" t="s">
        <v>11</v>
      </c>
      <c r="L6" s="20" t="s">
        <v>7</v>
      </c>
      <c r="M6" s="20" t="s">
        <v>11</v>
      </c>
      <c r="N6" s="20" t="s">
        <v>3</v>
      </c>
      <c r="O6" s="20" t="s">
        <v>3</v>
      </c>
      <c r="P6" s="11" t="s">
        <v>7</v>
      </c>
      <c r="Q6" s="4">
        <v>0</v>
      </c>
      <c r="R6" s="5" t="s">
        <v>729</v>
      </c>
      <c r="S6" s="5" t="b">
        <f t="shared" si="0"/>
        <v>1</v>
      </c>
    </row>
    <row r="7" spans="1:19" s="5" customFormat="1" ht="42" customHeight="1">
      <c r="A7" s="2">
        <v>5</v>
      </c>
      <c r="B7" s="12">
        <v>2544640806</v>
      </c>
      <c r="C7" s="12">
        <v>250371529020</v>
      </c>
      <c r="D7" s="17">
        <f t="shared" si="1"/>
        <v>250558</v>
      </c>
      <c r="E7" s="13" t="s">
        <v>730</v>
      </c>
      <c r="F7" s="12" t="s">
        <v>27</v>
      </c>
      <c r="G7" s="19" t="s">
        <v>15</v>
      </c>
      <c r="H7" s="19" t="s">
        <v>85</v>
      </c>
      <c r="I7" s="20" t="s">
        <v>4</v>
      </c>
      <c r="J7" s="20" t="s">
        <v>4</v>
      </c>
      <c r="K7" s="20" t="s">
        <v>5</v>
      </c>
      <c r="L7" s="20" t="s">
        <v>6</v>
      </c>
      <c r="M7" s="20" t="s">
        <v>6</v>
      </c>
      <c r="N7" s="20" t="s">
        <v>5</v>
      </c>
      <c r="O7" s="20" t="s">
        <v>5</v>
      </c>
      <c r="P7" s="11" t="s">
        <v>17</v>
      </c>
      <c r="Q7" s="4">
        <v>6</v>
      </c>
      <c r="R7" s="5" t="s">
        <v>730</v>
      </c>
      <c r="S7" s="5" t="b">
        <f t="shared" si="0"/>
        <v>1</v>
      </c>
    </row>
    <row r="8" spans="1:19" s="5" customFormat="1" ht="42" customHeight="1">
      <c r="A8" s="2">
        <v>6</v>
      </c>
      <c r="B8" s="12">
        <v>2544640863</v>
      </c>
      <c r="C8" s="12">
        <v>250371529023</v>
      </c>
      <c r="D8" s="17">
        <f t="shared" si="1"/>
        <v>250559</v>
      </c>
      <c r="E8" s="13" t="s">
        <v>731</v>
      </c>
      <c r="F8" s="12" t="s">
        <v>27</v>
      </c>
      <c r="G8" s="19" t="s">
        <v>15</v>
      </c>
      <c r="H8" s="19" t="s">
        <v>85</v>
      </c>
      <c r="I8" s="20" t="s">
        <v>3</v>
      </c>
      <c r="J8" s="20" t="s">
        <v>3</v>
      </c>
      <c r="K8" s="20" t="s">
        <v>4</v>
      </c>
      <c r="L8" s="20" t="s">
        <v>3</v>
      </c>
      <c r="M8" s="20" t="s">
        <v>3</v>
      </c>
      <c r="N8" s="20" t="s">
        <v>2</v>
      </c>
      <c r="O8" s="20" t="s">
        <v>2</v>
      </c>
      <c r="P8" s="11" t="s">
        <v>17</v>
      </c>
      <c r="Q8" s="4">
        <v>7.8888888888888893</v>
      </c>
      <c r="R8" s="5" t="s">
        <v>731</v>
      </c>
      <c r="S8" s="5" t="b">
        <f t="shared" si="0"/>
        <v>1</v>
      </c>
    </row>
    <row r="9" spans="1:19" s="5" customFormat="1" ht="42" customHeight="1">
      <c r="A9" s="2">
        <v>7</v>
      </c>
      <c r="B9" s="12">
        <v>2544640016</v>
      </c>
      <c r="C9" s="12">
        <v>250371529024</v>
      </c>
      <c r="D9" s="17">
        <f t="shared" si="1"/>
        <v>250560</v>
      </c>
      <c r="E9" s="13" t="s">
        <v>732</v>
      </c>
      <c r="F9" s="12" t="s">
        <v>27</v>
      </c>
      <c r="G9" s="19" t="s">
        <v>15</v>
      </c>
      <c r="H9" s="19" t="s">
        <v>85</v>
      </c>
      <c r="I9" s="20" t="s">
        <v>4</v>
      </c>
      <c r="J9" s="20" t="s">
        <v>6</v>
      </c>
      <c r="K9" s="20" t="s">
        <v>4</v>
      </c>
      <c r="L9" s="20" t="s">
        <v>11</v>
      </c>
      <c r="M9" s="20" t="s">
        <v>6</v>
      </c>
      <c r="N9" s="20" t="s">
        <v>3</v>
      </c>
      <c r="O9" s="20" t="s">
        <v>3</v>
      </c>
      <c r="P9" s="11" t="s">
        <v>17</v>
      </c>
      <c r="Q9" s="4">
        <v>5.94</v>
      </c>
      <c r="R9" s="5" t="s">
        <v>732</v>
      </c>
      <c r="S9" s="5" t="b">
        <f t="shared" si="0"/>
        <v>1</v>
      </c>
    </row>
    <row r="10" spans="1:19" s="5" customFormat="1" ht="42" customHeight="1">
      <c r="A10" s="2">
        <v>8</v>
      </c>
      <c r="B10" s="12">
        <v>2544640810</v>
      </c>
      <c r="C10" s="12">
        <v>250371529025</v>
      </c>
      <c r="D10" s="17">
        <f t="shared" si="1"/>
        <v>250561</v>
      </c>
      <c r="E10" s="13" t="s">
        <v>733</v>
      </c>
      <c r="F10" s="12" t="s">
        <v>27</v>
      </c>
      <c r="G10" s="19" t="s">
        <v>15</v>
      </c>
      <c r="H10" s="19" t="s">
        <v>85</v>
      </c>
      <c r="I10" s="20" t="s">
        <v>2</v>
      </c>
      <c r="J10" s="20" t="s">
        <v>4</v>
      </c>
      <c r="K10" s="20" t="s">
        <v>4</v>
      </c>
      <c r="L10" s="20" t="s">
        <v>2</v>
      </c>
      <c r="M10" s="20" t="s">
        <v>4</v>
      </c>
      <c r="N10" s="20" t="s">
        <v>2</v>
      </c>
      <c r="O10" s="20" t="s">
        <v>2</v>
      </c>
      <c r="P10" s="11" t="s">
        <v>17</v>
      </c>
      <c r="Q10" s="4">
        <v>7.8888888888888893</v>
      </c>
      <c r="R10" s="5" t="s">
        <v>733</v>
      </c>
      <c r="S10" s="5" t="b">
        <f t="shared" si="0"/>
        <v>1</v>
      </c>
    </row>
    <row r="11" spans="1:19" s="5" customFormat="1" ht="42" customHeight="1">
      <c r="A11" s="2">
        <v>9</v>
      </c>
      <c r="B11" s="12">
        <v>2544640954</v>
      </c>
      <c r="C11" s="12">
        <v>250371529026</v>
      </c>
      <c r="D11" s="17">
        <f t="shared" si="1"/>
        <v>250562</v>
      </c>
      <c r="E11" s="13" t="s">
        <v>734</v>
      </c>
      <c r="F11" s="12" t="s">
        <v>27</v>
      </c>
      <c r="G11" s="19" t="s">
        <v>15</v>
      </c>
      <c r="H11" s="19" t="s">
        <v>85</v>
      </c>
      <c r="I11" s="20" t="s">
        <v>3</v>
      </c>
      <c r="J11" s="20" t="s">
        <v>2</v>
      </c>
      <c r="K11" s="20" t="s">
        <v>3</v>
      </c>
      <c r="L11" s="20" t="s">
        <v>2</v>
      </c>
      <c r="M11" s="20" t="s">
        <v>3</v>
      </c>
      <c r="N11" s="20" t="s">
        <v>8</v>
      </c>
      <c r="O11" s="20" t="s">
        <v>8</v>
      </c>
      <c r="P11" s="11" t="s">
        <v>17</v>
      </c>
      <c r="Q11" s="4">
        <v>8.5555555555555554</v>
      </c>
      <c r="R11" s="5" t="s">
        <v>734</v>
      </c>
      <c r="S11" s="5" t="b">
        <f t="shared" si="0"/>
        <v>1</v>
      </c>
    </row>
    <row r="12" spans="1:19" s="5" customFormat="1" ht="42" customHeight="1">
      <c r="A12" s="2">
        <v>10</v>
      </c>
      <c r="B12" s="12">
        <v>2544640050</v>
      </c>
      <c r="C12" s="12">
        <v>250371529027</v>
      </c>
      <c r="D12" s="17">
        <f t="shared" si="1"/>
        <v>250563</v>
      </c>
      <c r="E12" s="13" t="s">
        <v>735</v>
      </c>
      <c r="F12" s="12" t="s">
        <v>27</v>
      </c>
      <c r="G12" s="19" t="s">
        <v>15</v>
      </c>
      <c r="H12" s="19" t="s">
        <v>85</v>
      </c>
      <c r="I12" s="20" t="s">
        <v>3</v>
      </c>
      <c r="J12" s="20" t="s">
        <v>3</v>
      </c>
      <c r="K12" s="20" t="s">
        <v>4</v>
      </c>
      <c r="L12" s="20" t="s">
        <v>2</v>
      </c>
      <c r="M12" s="20" t="s">
        <v>3</v>
      </c>
      <c r="N12" s="20" t="s">
        <v>8</v>
      </c>
      <c r="O12" s="20" t="s">
        <v>8</v>
      </c>
      <c r="P12" s="11" t="s">
        <v>17</v>
      </c>
      <c r="Q12" s="4">
        <v>8.1666666666666661</v>
      </c>
      <c r="R12" s="5" t="s">
        <v>735</v>
      </c>
      <c r="S12" s="5" t="b">
        <f t="shared" si="0"/>
        <v>1</v>
      </c>
    </row>
    <row r="13" spans="1:19" s="5" customFormat="1" ht="42" customHeight="1">
      <c r="A13" s="2">
        <v>11</v>
      </c>
      <c r="B13" s="12">
        <v>2544640495</v>
      </c>
      <c r="C13" s="12">
        <v>250371529029</v>
      </c>
      <c r="D13" s="17">
        <f t="shared" si="1"/>
        <v>250564</v>
      </c>
      <c r="E13" s="13" t="s">
        <v>736</v>
      </c>
      <c r="F13" s="12" t="s">
        <v>27</v>
      </c>
      <c r="G13" s="19" t="s">
        <v>15</v>
      </c>
      <c r="H13" s="19" t="s">
        <v>85</v>
      </c>
      <c r="I13" s="20" t="s">
        <v>3</v>
      </c>
      <c r="J13" s="20" t="s">
        <v>3</v>
      </c>
      <c r="K13" s="20" t="s">
        <v>4</v>
      </c>
      <c r="L13" s="20" t="s">
        <v>3</v>
      </c>
      <c r="M13" s="20" t="s">
        <v>4</v>
      </c>
      <c r="N13" s="20" t="s">
        <v>4</v>
      </c>
      <c r="O13" s="20" t="s">
        <v>4</v>
      </c>
      <c r="P13" s="11" t="s">
        <v>17</v>
      </c>
      <c r="Q13" s="4">
        <v>7.5</v>
      </c>
      <c r="R13" s="5" t="s">
        <v>736</v>
      </c>
      <c r="S13" s="5" t="b">
        <f t="shared" si="0"/>
        <v>1</v>
      </c>
    </row>
    <row r="14" spans="1:19" s="5" customFormat="1" ht="42" customHeight="1">
      <c r="A14" s="2">
        <v>12</v>
      </c>
      <c r="B14" s="12">
        <v>2544640718</v>
      </c>
      <c r="C14" s="12">
        <v>250371529030</v>
      </c>
      <c r="D14" s="17">
        <f t="shared" si="1"/>
        <v>250565</v>
      </c>
      <c r="E14" s="13" t="s">
        <v>737</v>
      </c>
      <c r="F14" s="12" t="s">
        <v>27</v>
      </c>
      <c r="G14" s="19" t="s">
        <v>15</v>
      </c>
      <c r="H14" s="19" t="s">
        <v>85</v>
      </c>
      <c r="I14" s="20" t="s">
        <v>3</v>
      </c>
      <c r="J14" s="20" t="s">
        <v>5</v>
      </c>
      <c r="K14" s="20" t="s">
        <v>5</v>
      </c>
      <c r="L14" s="20" t="s">
        <v>6</v>
      </c>
      <c r="M14" s="20" t="s">
        <v>4</v>
      </c>
      <c r="N14" s="20" t="s">
        <v>4</v>
      </c>
      <c r="O14" s="20" t="s">
        <v>4</v>
      </c>
      <c r="P14" s="11" t="s">
        <v>17</v>
      </c>
      <c r="Q14" s="4">
        <v>6.4444444444444446</v>
      </c>
      <c r="R14" s="5" t="s">
        <v>737</v>
      </c>
      <c r="S14" s="5" t="b">
        <f t="shared" si="0"/>
        <v>1</v>
      </c>
    </row>
    <row r="15" spans="1:19" s="5" customFormat="1" ht="42" customHeight="1">
      <c r="A15" s="2">
        <v>13</v>
      </c>
      <c r="B15" s="12">
        <v>2544640461</v>
      </c>
      <c r="C15" s="12">
        <v>250371529035</v>
      </c>
      <c r="D15" s="17">
        <f t="shared" si="1"/>
        <v>250566</v>
      </c>
      <c r="E15" s="13" t="s">
        <v>738</v>
      </c>
      <c r="F15" s="12" t="s">
        <v>27</v>
      </c>
      <c r="G15" s="19" t="s">
        <v>15</v>
      </c>
      <c r="H15" s="19" t="s">
        <v>85</v>
      </c>
      <c r="I15" s="20" t="s">
        <v>3</v>
      </c>
      <c r="J15" s="20" t="s">
        <v>8</v>
      </c>
      <c r="K15" s="20" t="s">
        <v>4</v>
      </c>
      <c r="L15" s="20" t="s">
        <v>8</v>
      </c>
      <c r="M15" s="20" t="s">
        <v>4</v>
      </c>
      <c r="N15" s="20" t="s">
        <v>3</v>
      </c>
      <c r="O15" s="20" t="s">
        <v>3</v>
      </c>
      <c r="P15" s="11" t="s">
        <v>17</v>
      </c>
      <c r="Q15" s="4">
        <v>8.2777777777777786</v>
      </c>
      <c r="R15" s="5" t="s">
        <v>738</v>
      </c>
      <c r="S15" s="5" t="b">
        <f t="shared" si="0"/>
        <v>1</v>
      </c>
    </row>
    <row r="16" spans="1:19" s="5" customFormat="1" ht="42" customHeight="1">
      <c r="A16" s="2">
        <v>14</v>
      </c>
      <c r="B16" s="12">
        <v>2544641099</v>
      </c>
      <c r="C16" s="12">
        <v>250371529037</v>
      </c>
      <c r="D16" s="17">
        <f t="shared" si="1"/>
        <v>250567</v>
      </c>
      <c r="E16" s="13" t="s">
        <v>739</v>
      </c>
      <c r="F16" s="12" t="s">
        <v>27</v>
      </c>
      <c r="G16" s="19" t="s">
        <v>15</v>
      </c>
      <c r="H16" s="19" t="s">
        <v>85</v>
      </c>
      <c r="I16" s="20" t="s">
        <v>4</v>
      </c>
      <c r="J16" s="20" t="s">
        <v>4</v>
      </c>
      <c r="K16" s="20" t="s">
        <v>4</v>
      </c>
      <c r="L16" s="20" t="s">
        <v>2</v>
      </c>
      <c r="M16" s="20" t="s">
        <v>4</v>
      </c>
      <c r="N16" s="20" t="s">
        <v>3</v>
      </c>
      <c r="O16" s="20" t="s">
        <v>3</v>
      </c>
      <c r="P16" s="11" t="s">
        <v>17</v>
      </c>
      <c r="Q16" s="4">
        <v>7.4444444444444446</v>
      </c>
      <c r="R16" s="5" t="s">
        <v>739</v>
      </c>
      <c r="S16" s="5" t="b">
        <f t="shared" si="0"/>
        <v>1</v>
      </c>
    </row>
    <row r="17" spans="1:19" s="5" customFormat="1" ht="42" customHeight="1">
      <c r="A17" s="2">
        <v>15</v>
      </c>
      <c r="B17" s="12">
        <v>2544640096</v>
      </c>
      <c r="C17" s="12">
        <v>250371529038</v>
      </c>
      <c r="D17" s="17">
        <f t="shared" si="1"/>
        <v>250568</v>
      </c>
      <c r="E17" s="13" t="s">
        <v>740</v>
      </c>
      <c r="F17" s="12" t="s">
        <v>27</v>
      </c>
      <c r="G17" s="19" t="s">
        <v>15</v>
      </c>
      <c r="H17" s="19" t="s">
        <v>85</v>
      </c>
      <c r="I17" s="20" t="s">
        <v>7</v>
      </c>
      <c r="J17" s="20" t="s">
        <v>7</v>
      </c>
      <c r="K17" s="20" t="s">
        <v>5</v>
      </c>
      <c r="L17" s="20" t="s">
        <v>1517</v>
      </c>
      <c r="M17" s="20" t="s">
        <v>4</v>
      </c>
      <c r="N17" s="20" t="s">
        <v>5</v>
      </c>
      <c r="O17" s="20" t="s">
        <v>5</v>
      </c>
      <c r="P17" s="11" t="s">
        <v>1517</v>
      </c>
      <c r="Q17" s="4">
        <v>0</v>
      </c>
      <c r="R17" s="5" t="s">
        <v>740</v>
      </c>
      <c r="S17" s="5" t="b">
        <f t="shared" si="0"/>
        <v>1</v>
      </c>
    </row>
    <row r="18" spans="1:19" s="5" customFormat="1" ht="42" customHeight="1">
      <c r="A18" s="2">
        <v>16</v>
      </c>
      <c r="B18" s="12">
        <v>2544640020</v>
      </c>
      <c r="C18" s="12">
        <v>250371529040</v>
      </c>
      <c r="D18" s="17">
        <f t="shared" si="1"/>
        <v>250569</v>
      </c>
      <c r="E18" s="13" t="s">
        <v>741</v>
      </c>
      <c r="F18" s="12" t="s">
        <v>27</v>
      </c>
      <c r="G18" s="19" t="s">
        <v>15</v>
      </c>
      <c r="H18" s="19" t="s">
        <v>85</v>
      </c>
      <c r="I18" s="20" t="s">
        <v>3</v>
      </c>
      <c r="J18" s="20" t="s">
        <v>5</v>
      </c>
      <c r="K18" s="20" t="s">
        <v>5</v>
      </c>
      <c r="L18" s="20" t="s">
        <v>11</v>
      </c>
      <c r="M18" s="20" t="s">
        <v>4</v>
      </c>
      <c r="N18" s="20" t="s">
        <v>4</v>
      </c>
      <c r="O18" s="20" t="s">
        <v>3</v>
      </c>
      <c r="P18" s="11" t="s">
        <v>17</v>
      </c>
      <c r="Q18" s="4">
        <v>6.33</v>
      </c>
      <c r="R18" s="5" t="s">
        <v>741</v>
      </c>
      <c r="S18" s="5" t="b">
        <f t="shared" si="0"/>
        <v>1</v>
      </c>
    </row>
    <row r="19" spans="1:19" s="5" customFormat="1" ht="42" customHeight="1">
      <c r="A19" s="2">
        <v>17</v>
      </c>
      <c r="B19" s="12">
        <v>2547680842</v>
      </c>
      <c r="C19" s="12">
        <v>250371529043</v>
      </c>
      <c r="D19" s="17">
        <f t="shared" si="1"/>
        <v>250570</v>
      </c>
      <c r="E19" s="13" t="s">
        <v>742</v>
      </c>
      <c r="F19" s="12" t="s">
        <v>27</v>
      </c>
      <c r="G19" s="19" t="s">
        <v>15</v>
      </c>
      <c r="H19" s="19" t="s">
        <v>85</v>
      </c>
      <c r="I19" s="20" t="s">
        <v>3</v>
      </c>
      <c r="J19" s="20" t="s">
        <v>11</v>
      </c>
      <c r="K19" s="20" t="s">
        <v>5</v>
      </c>
      <c r="L19" s="20" t="s">
        <v>2</v>
      </c>
      <c r="M19" s="20" t="s">
        <v>5</v>
      </c>
      <c r="N19" s="20" t="s">
        <v>8</v>
      </c>
      <c r="O19" s="20" t="s">
        <v>8</v>
      </c>
      <c r="P19" s="11" t="s">
        <v>17</v>
      </c>
      <c r="Q19" s="4">
        <v>6.9444444444444446</v>
      </c>
      <c r="R19" s="5" t="s">
        <v>742</v>
      </c>
      <c r="S19" s="5" t="b">
        <f t="shared" si="0"/>
        <v>1</v>
      </c>
    </row>
    <row r="20" spans="1:19" s="5" customFormat="1" ht="42" customHeight="1">
      <c r="A20" s="2">
        <v>18</v>
      </c>
      <c r="B20" s="12">
        <v>2544640490</v>
      </c>
      <c r="C20" s="12">
        <v>250371529045</v>
      </c>
      <c r="D20" s="17">
        <f t="shared" si="1"/>
        <v>250571</v>
      </c>
      <c r="E20" s="13" t="s">
        <v>743</v>
      </c>
      <c r="F20" s="12" t="s">
        <v>27</v>
      </c>
      <c r="G20" s="19" t="s">
        <v>15</v>
      </c>
      <c r="H20" s="19" t="s">
        <v>85</v>
      </c>
      <c r="I20" s="20" t="s">
        <v>5</v>
      </c>
      <c r="J20" s="20" t="s">
        <v>7</v>
      </c>
      <c r="K20" s="20" t="s">
        <v>11</v>
      </c>
      <c r="L20" s="20" t="s">
        <v>6</v>
      </c>
      <c r="M20" s="20" t="s">
        <v>6</v>
      </c>
      <c r="N20" s="20" t="s">
        <v>4</v>
      </c>
      <c r="O20" s="20" t="s">
        <v>3</v>
      </c>
      <c r="P20" s="11" t="s">
        <v>7</v>
      </c>
      <c r="Q20" s="4">
        <v>0</v>
      </c>
      <c r="R20" s="5" t="s">
        <v>743</v>
      </c>
      <c r="S20" s="5" t="b">
        <f t="shared" si="0"/>
        <v>1</v>
      </c>
    </row>
  </sheetData>
  <autoFilter ref="A2:S2"/>
  <mergeCells count="8">
    <mergeCell ref="H1:H2"/>
    <mergeCell ref="Q1:Q2"/>
    <mergeCell ref="A1:A2"/>
    <mergeCell ref="B1:B2"/>
    <mergeCell ref="C1:C2"/>
    <mergeCell ref="E1:E2"/>
    <mergeCell ref="F1:F2"/>
    <mergeCell ref="G1:G2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00B050"/>
  </sheetPr>
  <dimension ref="A1:S3"/>
  <sheetViews>
    <sheetView workbookViewId="0">
      <selection activeCell="D3" sqref="D3"/>
    </sheetView>
  </sheetViews>
  <sheetFormatPr defaultRowHeight="15"/>
  <cols>
    <col min="1" max="1" width="6.5703125" style="6" bestFit="1" customWidth="1"/>
    <col min="2" max="2" width="16.28515625" style="6" customWidth="1"/>
    <col min="3" max="3" width="18.28515625" style="6" bestFit="1" customWidth="1"/>
    <col min="4" max="4" width="18.28515625" style="6" customWidth="1"/>
    <col min="5" max="5" width="44.5703125" style="6" customWidth="1"/>
    <col min="6" max="6" width="12.140625" style="9" customWidth="1"/>
    <col min="7" max="8" width="13.42578125" style="6" customWidth="1"/>
    <col min="9" max="9" width="17.85546875" style="6" customWidth="1"/>
    <col min="10" max="10" width="18.5703125" style="6" customWidth="1"/>
    <col min="11" max="11" width="18.85546875" style="6" customWidth="1"/>
    <col min="12" max="16" width="17.85546875" style="6" customWidth="1"/>
    <col min="17" max="17" width="9.140625" style="7" customWidth="1"/>
    <col min="18" max="18" width="48" style="6" customWidth="1"/>
    <col min="19" max="19" width="19.28515625" style="6" customWidth="1"/>
    <col min="20" max="16384" width="9.140625" style="6"/>
  </cols>
  <sheetData>
    <row r="1" spans="1:19" s="8" customFormat="1" ht="127.5" customHeight="1">
      <c r="A1" s="53" t="s">
        <v>1</v>
      </c>
      <c r="B1" s="53" t="s">
        <v>16</v>
      </c>
      <c r="C1" s="53" t="s">
        <v>12</v>
      </c>
      <c r="D1" s="49" t="s">
        <v>1520</v>
      </c>
      <c r="E1" s="53" t="s">
        <v>13</v>
      </c>
      <c r="F1" s="53" t="s">
        <v>14</v>
      </c>
      <c r="G1" s="53" t="s">
        <v>0</v>
      </c>
      <c r="H1" s="53" t="s">
        <v>31</v>
      </c>
      <c r="I1" s="1" t="s">
        <v>78</v>
      </c>
      <c r="J1" s="1" t="s">
        <v>610</v>
      </c>
      <c r="K1" s="1" t="s">
        <v>80</v>
      </c>
      <c r="L1" s="1" t="s">
        <v>692</v>
      </c>
      <c r="M1" s="1" t="s">
        <v>693</v>
      </c>
      <c r="N1" s="1" t="s">
        <v>694</v>
      </c>
      <c r="O1" s="1" t="s">
        <v>695</v>
      </c>
      <c r="P1" s="1" t="s">
        <v>10</v>
      </c>
      <c r="Q1" s="55" t="s">
        <v>9</v>
      </c>
    </row>
    <row r="2" spans="1:19" s="8" customFormat="1" ht="29.25" customHeight="1">
      <c r="A2" s="54"/>
      <c r="B2" s="54"/>
      <c r="C2" s="54"/>
      <c r="D2" s="50"/>
      <c r="E2" s="54"/>
      <c r="F2" s="54"/>
      <c r="G2" s="54"/>
      <c r="H2" s="54"/>
      <c r="I2" s="10">
        <v>3</v>
      </c>
      <c r="J2" s="10">
        <v>3</v>
      </c>
      <c r="K2" s="10">
        <v>4</v>
      </c>
      <c r="L2" s="10">
        <v>3</v>
      </c>
      <c r="M2" s="10">
        <v>3</v>
      </c>
      <c r="N2" s="10">
        <v>1</v>
      </c>
      <c r="O2" s="10">
        <v>1</v>
      </c>
      <c r="P2" s="10">
        <f>SUM(I2:O2)</f>
        <v>18</v>
      </c>
      <c r="Q2" s="56"/>
      <c r="R2" s="8" t="s">
        <v>1542</v>
      </c>
      <c r="S2" s="8" t="s">
        <v>1543</v>
      </c>
    </row>
    <row r="3" spans="1:19" s="5" customFormat="1" ht="42" customHeight="1">
      <c r="A3" s="2">
        <v>1</v>
      </c>
      <c r="B3" s="12">
        <v>2544641120</v>
      </c>
      <c r="C3" s="12">
        <v>250371529007</v>
      </c>
      <c r="D3" s="17">
        <v>250572</v>
      </c>
      <c r="E3" s="13" t="s">
        <v>744</v>
      </c>
      <c r="F3" s="12" t="s">
        <v>27</v>
      </c>
      <c r="G3" s="19" t="s">
        <v>15</v>
      </c>
      <c r="H3" s="19" t="s">
        <v>612</v>
      </c>
      <c r="I3" s="20" t="s">
        <v>4</v>
      </c>
      <c r="J3" s="20" t="s">
        <v>8</v>
      </c>
      <c r="K3" s="20" t="s">
        <v>6</v>
      </c>
      <c r="L3" s="20" t="s">
        <v>3</v>
      </c>
      <c r="M3" s="20" t="s">
        <v>3</v>
      </c>
      <c r="N3" s="20" t="s">
        <v>2</v>
      </c>
      <c r="O3" s="20" t="s">
        <v>2</v>
      </c>
      <c r="P3" s="11" t="s">
        <v>17</v>
      </c>
      <c r="Q3" s="4">
        <v>7.6111111111111107</v>
      </c>
      <c r="R3" s="5" t="s">
        <v>744</v>
      </c>
      <c r="S3" s="5" t="b">
        <f>R3=E3</f>
        <v>1</v>
      </c>
    </row>
  </sheetData>
  <autoFilter ref="A1:Q3">
    <filterColumn colId="3"/>
    <filterColumn colId="7"/>
    <filterColumn colId="12"/>
    <filterColumn colId="13"/>
    <filterColumn colId="14"/>
  </autoFilter>
  <mergeCells count="8">
    <mergeCell ref="H1:H2"/>
    <mergeCell ref="Q1:Q2"/>
    <mergeCell ref="A1:A2"/>
    <mergeCell ref="B1:B2"/>
    <mergeCell ref="C1:C2"/>
    <mergeCell ref="E1:E2"/>
    <mergeCell ref="F1:F2"/>
    <mergeCell ref="G1:G2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00B050"/>
  </sheetPr>
  <dimension ref="A1:S32"/>
  <sheetViews>
    <sheetView topLeftCell="F1" zoomScale="85" zoomScaleNormal="85" workbookViewId="0">
      <selection activeCell="I3" sqref="I3:Q3"/>
    </sheetView>
  </sheetViews>
  <sheetFormatPr defaultRowHeight="15"/>
  <cols>
    <col min="1" max="1" width="6.5703125" style="6" bestFit="1" customWidth="1"/>
    <col min="2" max="2" width="16.28515625" style="6" customWidth="1"/>
    <col min="3" max="4" width="21.7109375" style="6" customWidth="1"/>
    <col min="5" max="5" width="44.5703125" style="6" customWidth="1"/>
    <col min="6" max="6" width="12.140625" style="9" customWidth="1"/>
    <col min="7" max="8" width="13.42578125" style="6" customWidth="1"/>
    <col min="9" max="9" width="17.85546875" style="6" customWidth="1"/>
    <col min="10" max="10" width="18.5703125" style="6" customWidth="1"/>
    <col min="11" max="11" width="18.85546875" style="6" customWidth="1"/>
    <col min="12" max="16" width="17.85546875" style="6" customWidth="1"/>
    <col min="17" max="17" width="8.5703125" style="7" bestFit="1" customWidth="1"/>
    <col min="18" max="18" width="71.28515625" style="6" customWidth="1"/>
    <col min="19" max="16384" width="9.140625" style="6"/>
  </cols>
  <sheetData>
    <row r="1" spans="1:19" s="8" customFormat="1" ht="127.5" customHeight="1">
      <c r="A1" s="53" t="s">
        <v>1</v>
      </c>
      <c r="B1" s="53" t="s">
        <v>16</v>
      </c>
      <c r="C1" s="53" t="s">
        <v>12</v>
      </c>
      <c r="D1" s="51" t="s">
        <v>1520</v>
      </c>
      <c r="E1" s="53" t="s">
        <v>13</v>
      </c>
      <c r="F1" s="53" t="s">
        <v>14</v>
      </c>
      <c r="G1" s="53" t="s">
        <v>0</v>
      </c>
      <c r="H1" s="53" t="s">
        <v>31</v>
      </c>
      <c r="I1" s="1" t="s">
        <v>78</v>
      </c>
      <c r="J1" s="1" t="s">
        <v>79</v>
      </c>
      <c r="K1" s="1" t="s">
        <v>80</v>
      </c>
      <c r="L1" s="1" t="s">
        <v>688</v>
      </c>
      <c r="M1" s="1" t="s">
        <v>690</v>
      </c>
      <c r="N1" s="1" t="s">
        <v>689</v>
      </c>
      <c r="O1" s="1" t="s">
        <v>691</v>
      </c>
      <c r="P1" s="1" t="s">
        <v>10</v>
      </c>
      <c r="Q1" s="55" t="s">
        <v>9</v>
      </c>
    </row>
    <row r="2" spans="1:19" s="8" customFormat="1" ht="29.25" customHeight="1">
      <c r="A2" s="54"/>
      <c r="B2" s="54"/>
      <c r="C2" s="54"/>
      <c r="D2" s="52"/>
      <c r="E2" s="54"/>
      <c r="F2" s="54"/>
      <c r="G2" s="54"/>
      <c r="H2" s="54"/>
      <c r="I2" s="10">
        <v>3</v>
      </c>
      <c r="J2" s="10">
        <v>3</v>
      </c>
      <c r="K2" s="10">
        <v>4</v>
      </c>
      <c r="L2" s="10">
        <v>3</v>
      </c>
      <c r="M2" s="10">
        <v>1</v>
      </c>
      <c r="N2" s="10">
        <v>3</v>
      </c>
      <c r="O2" s="10">
        <v>1</v>
      </c>
      <c r="P2" s="10">
        <f>SUM(I2:O2)</f>
        <v>18</v>
      </c>
      <c r="Q2" s="56"/>
      <c r="R2" s="8" t="s">
        <v>1542</v>
      </c>
      <c r="S2" s="8" t="s">
        <v>1543</v>
      </c>
    </row>
    <row r="3" spans="1:19" s="5" customFormat="1" ht="42" customHeight="1">
      <c r="A3" s="2">
        <v>1</v>
      </c>
      <c r="B3" s="12">
        <v>2544641094</v>
      </c>
      <c r="C3" s="12">
        <v>250371534003</v>
      </c>
      <c r="D3" s="17">
        <v>250573</v>
      </c>
      <c r="E3" s="13" t="s">
        <v>1550</v>
      </c>
      <c r="F3" s="12" t="s">
        <v>21</v>
      </c>
      <c r="G3" s="19" t="s">
        <v>15</v>
      </c>
      <c r="H3" s="19" t="s">
        <v>34</v>
      </c>
      <c r="I3" s="20" t="s">
        <v>6</v>
      </c>
      <c r="J3" s="20" t="s">
        <v>4</v>
      </c>
      <c r="K3" s="20" t="s">
        <v>6</v>
      </c>
      <c r="L3" s="20" t="s">
        <v>5</v>
      </c>
      <c r="M3" s="20" t="s">
        <v>2</v>
      </c>
      <c r="N3" s="20" t="s">
        <v>5</v>
      </c>
      <c r="O3" s="20" t="s">
        <v>2</v>
      </c>
      <c r="P3" s="11" t="s">
        <v>17</v>
      </c>
      <c r="Q3" s="4">
        <v>6.1111111111111107</v>
      </c>
      <c r="R3" s="5" t="s">
        <v>1550</v>
      </c>
      <c r="S3" s="5" t="b">
        <f>R3=E3</f>
        <v>1</v>
      </c>
    </row>
    <row r="4" spans="1:19" s="5" customFormat="1" ht="42" customHeight="1">
      <c r="A4" s="2">
        <v>2</v>
      </c>
      <c r="B4" s="12">
        <v>2544641092</v>
      </c>
      <c r="C4" s="12">
        <v>250371534004</v>
      </c>
      <c r="D4" s="17">
        <f>D3+1</f>
        <v>250574</v>
      </c>
      <c r="E4" s="13" t="s">
        <v>647</v>
      </c>
      <c r="F4" s="12" t="s">
        <v>21</v>
      </c>
      <c r="G4" s="19" t="s">
        <v>15</v>
      </c>
      <c r="H4" s="19" t="s">
        <v>34</v>
      </c>
      <c r="I4" s="20" t="s">
        <v>6</v>
      </c>
      <c r="J4" s="20" t="s">
        <v>6</v>
      </c>
      <c r="K4" s="20" t="s">
        <v>2</v>
      </c>
      <c r="L4" s="20" t="s">
        <v>3</v>
      </c>
      <c r="M4" s="20" t="s">
        <v>3</v>
      </c>
      <c r="N4" s="20" t="s">
        <v>2</v>
      </c>
      <c r="O4" s="20" t="s">
        <v>2</v>
      </c>
      <c r="P4" s="11" t="s">
        <v>17</v>
      </c>
      <c r="Q4" s="4">
        <v>7.4444444444444446</v>
      </c>
      <c r="R4" s="5" t="s">
        <v>647</v>
      </c>
      <c r="S4" s="5" t="b">
        <f>R4=E4</f>
        <v>1</v>
      </c>
    </row>
    <row r="5" spans="1:19" s="5" customFormat="1" ht="42" customHeight="1">
      <c r="A5" s="2">
        <v>3</v>
      </c>
      <c r="B5" s="12">
        <v>2544640777</v>
      </c>
      <c r="C5" s="12">
        <v>250371534005</v>
      </c>
      <c r="D5" s="17">
        <f t="shared" ref="D5:D32" si="0">D4+1</f>
        <v>250575</v>
      </c>
      <c r="E5" s="13" t="s">
        <v>648</v>
      </c>
      <c r="F5" s="12" t="s">
        <v>21</v>
      </c>
      <c r="G5" s="19" t="s">
        <v>15</v>
      </c>
      <c r="H5" s="19" t="s">
        <v>34</v>
      </c>
      <c r="I5" s="20" t="s">
        <v>3</v>
      </c>
      <c r="J5" s="20" t="s">
        <v>5</v>
      </c>
      <c r="K5" s="20" t="s">
        <v>4</v>
      </c>
      <c r="L5" s="20" t="s">
        <v>4</v>
      </c>
      <c r="M5" s="20" t="s">
        <v>8</v>
      </c>
      <c r="N5" s="20" t="s">
        <v>2</v>
      </c>
      <c r="O5" s="20" t="s">
        <v>8</v>
      </c>
      <c r="P5" s="11" t="s">
        <v>17</v>
      </c>
      <c r="Q5" s="4">
        <v>7.666666666666667</v>
      </c>
      <c r="R5" s="5" t="s">
        <v>648</v>
      </c>
      <c r="S5" s="5" t="b">
        <f>R5=E5</f>
        <v>1</v>
      </c>
    </row>
    <row r="6" spans="1:19" s="5" customFormat="1" ht="42" customHeight="1">
      <c r="A6" s="2">
        <v>4</v>
      </c>
      <c r="B6" s="12">
        <v>2544640391</v>
      </c>
      <c r="C6" s="12">
        <v>250371534007</v>
      </c>
      <c r="D6" s="17">
        <f t="shared" si="0"/>
        <v>250576</v>
      </c>
      <c r="E6" s="13" t="s">
        <v>649</v>
      </c>
      <c r="F6" s="12" t="s">
        <v>21</v>
      </c>
      <c r="G6" s="19" t="s">
        <v>15</v>
      </c>
      <c r="H6" s="19" t="s">
        <v>34</v>
      </c>
      <c r="I6" s="20" t="s">
        <v>11</v>
      </c>
      <c r="J6" s="20" t="s">
        <v>6</v>
      </c>
      <c r="K6" s="20" t="s">
        <v>5</v>
      </c>
      <c r="L6" s="20" t="s">
        <v>4</v>
      </c>
      <c r="M6" s="20" t="s">
        <v>3</v>
      </c>
      <c r="N6" s="20" t="s">
        <v>5</v>
      </c>
      <c r="O6" s="20" t="s">
        <v>2</v>
      </c>
      <c r="P6" s="11" t="s">
        <v>17</v>
      </c>
      <c r="Q6" s="4">
        <v>5.9444444444444446</v>
      </c>
      <c r="R6" s="5" t="s">
        <v>649</v>
      </c>
      <c r="S6" s="5" t="b">
        <f>R6=E6</f>
        <v>1</v>
      </c>
    </row>
    <row r="7" spans="1:19" s="5" customFormat="1" ht="42" customHeight="1">
      <c r="A7" s="2">
        <v>5</v>
      </c>
      <c r="B7" s="12">
        <v>2544640655</v>
      </c>
      <c r="C7" s="12">
        <v>250371534008</v>
      </c>
      <c r="D7" s="17">
        <f t="shared" si="0"/>
        <v>250577</v>
      </c>
      <c r="E7" s="13" t="s">
        <v>650</v>
      </c>
      <c r="F7" s="12" t="s">
        <v>21</v>
      </c>
      <c r="G7" s="19" t="s">
        <v>15</v>
      </c>
      <c r="H7" s="19" t="s">
        <v>34</v>
      </c>
      <c r="I7" s="20" t="s">
        <v>6</v>
      </c>
      <c r="J7" s="20" t="s">
        <v>6</v>
      </c>
      <c r="K7" s="20" t="s">
        <v>5</v>
      </c>
      <c r="L7" s="20" t="s">
        <v>4</v>
      </c>
      <c r="M7" s="20" t="s">
        <v>3</v>
      </c>
      <c r="N7" s="20" t="s">
        <v>5</v>
      </c>
      <c r="O7" s="20" t="s">
        <v>2</v>
      </c>
      <c r="P7" s="11" t="s">
        <v>17</v>
      </c>
      <c r="Q7" s="4">
        <v>6.1111111111111107</v>
      </c>
      <c r="R7" s="5" t="s">
        <v>650</v>
      </c>
      <c r="S7" s="5" t="b">
        <f>R7=E7</f>
        <v>1</v>
      </c>
    </row>
    <row r="8" spans="1:19" s="5" customFormat="1" ht="42" customHeight="1">
      <c r="A8" s="2">
        <v>6</v>
      </c>
      <c r="B8" s="12">
        <v>2544640282</v>
      </c>
      <c r="C8" s="12">
        <v>250371534009</v>
      </c>
      <c r="D8" s="17">
        <f t="shared" si="0"/>
        <v>250578</v>
      </c>
      <c r="E8" s="13" t="s">
        <v>651</v>
      </c>
      <c r="F8" s="12" t="s">
        <v>21</v>
      </c>
      <c r="G8" s="19" t="s">
        <v>15</v>
      </c>
      <c r="H8" s="19" t="s">
        <v>34</v>
      </c>
      <c r="I8" s="20" t="s">
        <v>11</v>
      </c>
      <c r="J8" s="20" t="s">
        <v>11</v>
      </c>
      <c r="K8" s="20" t="s">
        <v>4</v>
      </c>
      <c r="L8" s="20" t="s">
        <v>5</v>
      </c>
      <c r="M8" s="20" t="s">
        <v>2</v>
      </c>
      <c r="N8" s="20" t="s">
        <v>11</v>
      </c>
      <c r="O8" s="20" t="s">
        <v>2</v>
      </c>
      <c r="P8" s="11" t="s">
        <v>17</v>
      </c>
      <c r="Q8" s="4">
        <v>5.5555555555555554</v>
      </c>
      <c r="R8" s="5" t="s">
        <v>651</v>
      </c>
      <c r="S8" s="5" t="b">
        <f>R8=E8</f>
        <v>1</v>
      </c>
    </row>
    <row r="9" spans="1:19" s="5" customFormat="1" ht="42" customHeight="1">
      <c r="A9" s="2">
        <v>7</v>
      </c>
      <c r="B9" s="12">
        <v>2544641020</v>
      </c>
      <c r="C9" s="12">
        <v>250371534011</v>
      </c>
      <c r="D9" s="17">
        <f t="shared" si="0"/>
        <v>250579</v>
      </c>
      <c r="E9" s="13" t="s">
        <v>652</v>
      </c>
      <c r="F9" s="12" t="s">
        <v>21</v>
      </c>
      <c r="G9" s="19" t="s">
        <v>15</v>
      </c>
      <c r="H9" s="19" t="s">
        <v>34</v>
      </c>
      <c r="I9" s="20" t="s">
        <v>5</v>
      </c>
      <c r="J9" s="20" t="s">
        <v>5</v>
      </c>
      <c r="K9" s="20" t="s">
        <v>4</v>
      </c>
      <c r="L9" s="20" t="s">
        <v>4</v>
      </c>
      <c r="M9" s="20" t="s">
        <v>2</v>
      </c>
      <c r="N9" s="20" t="s">
        <v>4</v>
      </c>
      <c r="O9" s="20" t="s">
        <v>2</v>
      </c>
      <c r="P9" s="11" t="s">
        <v>17</v>
      </c>
      <c r="Q9" s="4">
        <v>6.8888888888888893</v>
      </c>
      <c r="R9" s="5" t="s">
        <v>652</v>
      </c>
      <c r="S9" s="5" t="b">
        <f>R9=E9</f>
        <v>1</v>
      </c>
    </row>
    <row r="10" spans="1:19" s="5" customFormat="1" ht="42" customHeight="1">
      <c r="A10" s="2">
        <v>8</v>
      </c>
      <c r="B10" s="12">
        <v>2544640882</v>
      </c>
      <c r="C10" s="12">
        <v>250371534012</v>
      </c>
      <c r="D10" s="17">
        <f t="shared" si="0"/>
        <v>250580</v>
      </c>
      <c r="E10" s="13" t="s">
        <v>653</v>
      </c>
      <c r="F10" s="12" t="s">
        <v>21</v>
      </c>
      <c r="G10" s="19" t="s">
        <v>15</v>
      </c>
      <c r="H10" s="19" t="s">
        <v>34</v>
      </c>
      <c r="I10" s="20" t="s">
        <v>4</v>
      </c>
      <c r="J10" s="20" t="s">
        <v>2</v>
      </c>
      <c r="K10" s="20" t="s">
        <v>8</v>
      </c>
      <c r="L10" s="20" t="s">
        <v>3</v>
      </c>
      <c r="M10" s="20" t="s">
        <v>8</v>
      </c>
      <c r="N10" s="20" t="s">
        <v>2</v>
      </c>
      <c r="O10" s="20" t="s">
        <v>8</v>
      </c>
      <c r="P10" s="11" t="s">
        <v>17</v>
      </c>
      <c r="Q10" s="4">
        <v>8.8333333333333339</v>
      </c>
      <c r="R10" s="5" t="s">
        <v>653</v>
      </c>
      <c r="S10" s="5" t="b">
        <f>R10=E10</f>
        <v>1</v>
      </c>
    </row>
    <row r="11" spans="1:19" s="5" customFormat="1" ht="42" customHeight="1">
      <c r="A11" s="2">
        <v>9</v>
      </c>
      <c r="B11" s="12">
        <v>2544641125</v>
      </c>
      <c r="C11" s="12">
        <v>250371534013</v>
      </c>
      <c r="D11" s="17">
        <f t="shared" si="0"/>
        <v>250581</v>
      </c>
      <c r="E11" s="13" t="s">
        <v>654</v>
      </c>
      <c r="F11" s="12" t="s">
        <v>21</v>
      </c>
      <c r="G11" s="19" t="s">
        <v>15</v>
      </c>
      <c r="H11" s="19" t="s">
        <v>34</v>
      </c>
      <c r="I11" s="20" t="s">
        <v>4</v>
      </c>
      <c r="J11" s="20" t="s">
        <v>3</v>
      </c>
      <c r="K11" s="20" t="s">
        <v>3</v>
      </c>
      <c r="L11" s="20" t="s">
        <v>4</v>
      </c>
      <c r="M11" s="20" t="s">
        <v>2</v>
      </c>
      <c r="N11" s="20" t="s">
        <v>3</v>
      </c>
      <c r="O11" s="20" t="s">
        <v>8</v>
      </c>
      <c r="P11" s="11" t="s">
        <v>17</v>
      </c>
      <c r="Q11" s="4">
        <v>7.833333333333333</v>
      </c>
      <c r="R11" s="5" t="s">
        <v>654</v>
      </c>
      <c r="S11" s="5" t="b">
        <f>R11=E11</f>
        <v>1</v>
      </c>
    </row>
    <row r="12" spans="1:19" s="5" customFormat="1" ht="42" customHeight="1">
      <c r="A12" s="2">
        <v>10</v>
      </c>
      <c r="B12" s="12">
        <v>2544641124</v>
      </c>
      <c r="C12" s="12">
        <v>250371534014</v>
      </c>
      <c r="D12" s="17">
        <f t="shared" si="0"/>
        <v>250582</v>
      </c>
      <c r="E12" s="13" t="s">
        <v>655</v>
      </c>
      <c r="F12" s="12" t="s">
        <v>21</v>
      </c>
      <c r="G12" s="19" t="s">
        <v>15</v>
      </c>
      <c r="H12" s="19" t="s">
        <v>34</v>
      </c>
      <c r="I12" s="20" t="s">
        <v>4</v>
      </c>
      <c r="J12" s="20" t="s">
        <v>5</v>
      </c>
      <c r="K12" s="20" t="s">
        <v>4</v>
      </c>
      <c r="L12" s="20" t="s">
        <v>4</v>
      </c>
      <c r="M12" s="20" t="s">
        <v>3</v>
      </c>
      <c r="N12" s="20" t="s">
        <v>5</v>
      </c>
      <c r="O12" s="20" t="s">
        <v>2</v>
      </c>
      <c r="P12" s="11" t="s">
        <v>17</v>
      </c>
      <c r="Q12" s="4">
        <v>6.833333333333333</v>
      </c>
      <c r="R12" s="5" t="s">
        <v>655</v>
      </c>
      <c r="S12" s="5" t="b">
        <f>R12=E12</f>
        <v>1</v>
      </c>
    </row>
    <row r="13" spans="1:19" s="5" customFormat="1" ht="42" customHeight="1">
      <c r="A13" s="2">
        <v>11</v>
      </c>
      <c r="B13" s="12">
        <v>2544640188</v>
      </c>
      <c r="C13" s="12">
        <v>250371534018</v>
      </c>
      <c r="D13" s="17">
        <f t="shared" si="0"/>
        <v>250583</v>
      </c>
      <c r="E13" s="13" t="s">
        <v>656</v>
      </c>
      <c r="F13" s="12" t="s">
        <v>21</v>
      </c>
      <c r="G13" s="19" t="s">
        <v>15</v>
      </c>
      <c r="H13" s="19" t="s">
        <v>34</v>
      </c>
      <c r="I13" s="20" t="s">
        <v>1516</v>
      </c>
      <c r="J13" s="20" t="s">
        <v>1516</v>
      </c>
      <c r="K13" s="20" t="s">
        <v>1516</v>
      </c>
      <c r="L13" s="20" t="s">
        <v>1516</v>
      </c>
      <c r="M13" s="20" t="s">
        <v>1516</v>
      </c>
      <c r="N13" s="20" t="s">
        <v>1516</v>
      </c>
      <c r="O13" s="20" t="s">
        <v>1516</v>
      </c>
      <c r="P13" s="11" t="s">
        <v>1516</v>
      </c>
      <c r="Q13" s="4">
        <v>0</v>
      </c>
      <c r="R13" s="5" t="s">
        <v>656</v>
      </c>
      <c r="S13" s="5" t="b">
        <f>R13=E13</f>
        <v>1</v>
      </c>
    </row>
    <row r="14" spans="1:19" s="5" customFormat="1" ht="42" customHeight="1">
      <c r="A14" s="2">
        <v>12</v>
      </c>
      <c r="B14" s="12">
        <v>2544641021</v>
      </c>
      <c r="C14" s="12">
        <v>250371534020</v>
      </c>
      <c r="D14" s="17">
        <f t="shared" si="0"/>
        <v>250584</v>
      </c>
      <c r="E14" s="13" t="s">
        <v>657</v>
      </c>
      <c r="F14" s="12" t="s">
        <v>21</v>
      </c>
      <c r="G14" s="19" t="s">
        <v>15</v>
      </c>
      <c r="H14" s="19" t="s">
        <v>34</v>
      </c>
      <c r="I14" s="20" t="s">
        <v>11</v>
      </c>
      <c r="J14" s="20" t="s">
        <v>11</v>
      </c>
      <c r="K14" s="20" t="s">
        <v>7</v>
      </c>
      <c r="L14" s="20" t="s">
        <v>4</v>
      </c>
      <c r="M14" s="20" t="s">
        <v>3</v>
      </c>
      <c r="N14" s="20" t="s">
        <v>3</v>
      </c>
      <c r="O14" s="20" t="s">
        <v>2</v>
      </c>
      <c r="P14" s="11" t="s">
        <v>7</v>
      </c>
      <c r="Q14" s="4">
        <v>0</v>
      </c>
      <c r="R14" s="5" t="s">
        <v>657</v>
      </c>
      <c r="S14" s="5" t="b">
        <f>R14=E14</f>
        <v>1</v>
      </c>
    </row>
    <row r="15" spans="1:19" s="5" customFormat="1" ht="42" customHeight="1">
      <c r="A15" s="2">
        <v>13</v>
      </c>
      <c r="B15" s="12">
        <v>2544640595</v>
      </c>
      <c r="C15" s="12">
        <v>250371534021</v>
      </c>
      <c r="D15" s="17">
        <f t="shared" si="0"/>
        <v>250585</v>
      </c>
      <c r="E15" s="13" t="s">
        <v>658</v>
      </c>
      <c r="F15" s="12" t="s">
        <v>21</v>
      </c>
      <c r="G15" s="19" t="s">
        <v>15</v>
      </c>
      <c r="H15" s="19" t="s">
        <v>34</v>
      </c>
      <c r="I15" s="20" t="s">
        <v>5</v>
      </c>
      <c r="J15" s="20" t="s">
        <v>3</v>
      </c>
      <c r="K15" s="20" t="s">
        <v>3</v>
      </c>
      <c r="L15" s="20" t="s">
        <v>2</v>
      </c>
      <c r="M15" s="20" t="s">
        <v>8</v>
      </c>
      <c r="N15" s="20" t="s">
        <v>8</v>
      </c>
      <c r="O15" s="20" t="s">
        <v>8</v>
      </c>
      <c r="P15" s="11" t="s">
        <v>17</v>
      </c>
      <c r="Q15" s="4">
        <v>8.3888888888888893</v>
      </c>
      <c r="R15" s="5" t="s">
        <v>658</v>
      </c>
      <c r="S15" s="5" t="b">
        <f>R15=E15</f>
        <v>1</v>
      </c>
    </row>
    <row r="16" spans="1:19" s="5" customFormat="1" ht="42" customHeight="1">
      <c r="A16" s="2">
        <v>14</v>
      </c>
      <c r="B16" s="12">
        <v>2544640916</v>
      </c>
      <c r="C16" s="12">
        <v>250371534022</v>
      </c>
      <c r="D16" s="17">
        <f t="shared" si="0"/>
        <v>250586</v>
      </c>
      <c r="E16" s="13" t="s">
        <v>659</v>
      </c>
      <c r="F16" s="12" t="s">
        <v>21</v>
      </c>
      <c r="G16" s="19" t="s">
        <v>15</v>
      </c>
      <c r="H16" s="19" t="s">
        <v>34</v>
      </c>
      <c r="I16" s="20" t="s">
        <v>5</v>
      </c>
      <c r="J16" s="20" t="s">
        <v>2</v>
      </c>
      <c r="K16" s="20" t="s">
        <v>2</v>
      </c>
      <c r="L16" s="20" t="s">
        <v>3</v>
      </c>
      <c r="M16" s="20" t="s">
        <v>3</v>
      </c>
      <c r="N16" s="20" t="s">
        <v>4</v>
      </c>
      <c r="O16" s="20" t="s">
        <v>2</v>
      </c>
      <c r="P16" s="11" t="s">
        <v>17</v>
      </c>
      <c r="Q16" s="4">
        <v>7.9444444444444446</v>
      </c>
      <c r="R16" s="5" t="s">
        <v>659</v>
      </c>
      <c r="S16" s="5" t="b">
        <f>R16=E16</f>
        <v>1</v>
      </c>
    </row>
    <row r="17" spans="1:19" s="5" customFormat="1" ht="42" customHeight="1">
      <c r="A17" s="2">
        <v>15</v>
      </c>
      <c r="B17" s="12">
        <v>2544640462</v>
      </c>
      <c r="C17" s="12">
        <v>250371534023</v>
      </c>
      <c r="D17" s="17">
        <f t="shared" si="0"/>
        <v>250587</v>
      </c>
      <c r="E17" s="13" t="s">
        <v>660</v>
      </c>
      <c r="F17" s="12" t="s">
        <v>21</v>
      </c>
      <c r="G17" s="19" t="s">
        <v>15</v>
      </c>
      <c r="H17" s="19" t="s">
        <v>34</v>
      </c>
      <c r="I17" s="20" t="s">
        <v>3</v>
      </c>
      <c r="J17" s="20" t="s">
        <v>3</v>
      </c>
      <c r="K17" s="20" t="s">
        <v>3</v>
      </c>
      <c r="L17" s="20" t="s">
        <v>3</v>
      </c>
      <c r="M17" s="20" t="s">
        <v>2</v>
      </c>
      <c r="N17" s="20" t="s">
        <v>8</v>
      </c>
      <c r="O17" s="20" t="s">
        <v>8</v>
      </c>
      <c r="P17" s="11" t="s">
        <v>17</v>
      </c>
      <c r="Q17" s="4">
        <v>8.5</v>
      </c>
      <c r="R17" s="5" t="s">
        <v>660</v>
      </c>
      <c r="S17" s="5" t="b">
        <f>R17=E17</f>
        <v>1</v>
      </c>
    </row>
    <row r="18" spans="1:19" s="5" customFormat="1" ht="42" customHeight="1">
      <c r="A18" s="2">
        <v>16</v>
      </c>
      <c r="B18" s="12">
        <v>2544640497</v>
      </c>
      <c r="C18" s="12">
        <v>250371534024</v>
      </c>
      <c r="D18" s="17">
        <f t="shared" si="0"/>
        <v>250588</v>
      </c>
      <c r="E18" s="13" t="s">
        <v>661</v>
      </c>
      <c r="F18" s="12" t="s">
        <v>21</v>
      </c>
      <c r="G18" s="19" t="s">
        <v>15</v>
      </c>
      <c r="H18" s="19" t="s">
        <v>34</v>
      </c>
      <c r="I18" s="20" t="s">
        <v>3</v>
      </c>
      <c r="J18" s="20" t="s">
        <v>2</v>
      </c>
      <c r="K18" s="20" t="s">
        <v>2</v>
      </c>
      <c r="L18" s="20" t="s">
        <v>3</v>
      </c>
      <c r="M18" s="20" t="s">
        <v>2</v>
      </c>
      <c r="N18" s="20" t="s">
        <v>8</v>
      </c>
      <c r="O18" s="20" t="s">
        <v>8</v>
      </c>
      <c r="P18" s="11" t="s">
        <v>17</v>
      </c>
      <c r="Q18" s="4">
        <v>8.8888888888888893</v>
      </c>
      <c r="R18" s="5" t="s">
        <v>661</v>
      </c>
      <c r="S18" s="5" t="b">
        <f>R18=E18</f>
        <v>1</v>
      </c>
    </row>
    <row r="19" spans="1:19" s="5" customFormat="1" ht="42" customHeight="1">
      <c r="A19" s="2">
        <v>17</v>
      </c>
      <c r="B19" s="12">
        <v>2544641029</v>
      </c>
      <c r="C19" s="12">
        <v>250371534025</v>
      </c>
      <c r="D19" s="17">
        <f t="shared" si="0"/>
        <v>250589</v>
      </c>
      <c r="E19" s="13" t="s">
        <v>662</v>
      </c>
      <c r="F19" s="12" t="s">
        <v>21</v>
      </c>
      <c r="G19" s="19" t="s">
        <v>15</v>
      </c>
      <c r="H19" s="19" t="s">
        <v>34</v>
      </c>
      <c r="I19" s="20" t="s">
        <v>11</v>
      </c>
      <c r="J19" s="20" t="s">
        <v>6</v>
      </c>
      <c r="K19" s="20" t="s">
        <v>5</v>
      </c>
      <c r="L19" s="20" t="s">
        <v>4</v>
      </c>
      <c r="M19" s="20" t="s">
        <v>3</v>
      </c>
      <c r="N19" s="20" t="s">
        <v>4</v>
      </c>
      <c r="O19" s="20" t="s">
        <v>2</v>
      </c>
      <c r="P19" s="11" t="s">
        <v>17</v>
      </c>
      <c r="Q19" s="4">
        <v>6.1111111111111107</v>
      </c>
      <c r="R19" s="5" t="s">
        <v>662</v>
      </c>
      <c r="S19" s="5" t="b">
        <f>R19=E19</f>
        <v>1</v>
      </c>
    </row>
    <row r="20" spans="1:19" s="5" customFormat="1" ht="42" customHeight="1">
      <c r="A20" s="2">
        <v>18</v>
      </c>
      <c r="B20" s="12">
        <v>2596890231</v>
      </c>
      <c r="C20" s="12">
        <v>250371534026</v>
      </c>
      <c r="D20" s="17">
        <f t="shared" si="0"/>
        <v>250590</v>
      </c>
      <c r="E20" s="13" t="s">
        <v>663</v>
      </c>
      <c r="F20" s="12" t="s">
        <v>21</v>
      </c>
      <c r="G20" s="19" t="s">
        <v>15</v>
      </c>
      <c r="H20" s="19" t="s">
        <v>34</v>
      </c>
      <c r="I20" s="20" t="s">
        <v>7</v>
      </c>
      <c r="J20" s="20" t="s">
        <v>7</v>
      </c>
      <c r="K20" s="20" t="s">
        <v>6</v>
      </c>
      <c r="L20" s="20" t="s">
        <v>4</v>
      </c>
      <c r="M20" s="20" t="s">
        <v>3</v>
      </c>
      <c r="N20" s="20" t="s">
        <v>5</v>
      </c>
      <c r="O20" s="20" t="s">
        <v>2</v>
      </c>
      <c r="P20" s="11" t="s">
        <v>7</v>
      </c>
      <c r="Q20" s="4">
        <v>0</v>
      </c>
      <c r="R20" s="5" t="s">
        <v>663</v>
      </c>
      <c r="S20" s="5" t="b">
        <f>R20=E20</f>
        <v>1</v>
      </c>
    </row>
    <row r="21" spans="1:19" s="5" customFormat="1" ht="42" customHeight="1">
      <c r="A21" s="2">
        <v>19</v>
      </c>
      <c r="B21" s="12">
        <v>2544640958</v>
      </c>
      <c r="C21" s="12">
        <v>250371534027</v>
      </c>
      <c r="D21" s="17">
        <f t="shared" si="0"/>
        <v>250591</v>
      </c>
      <c r="E21" s="13" t="s">
        <v>664</v>
      </c>
      <c r="F21" s="12" t="s">
        <v>21</v>
      </c>
      <c r="G21" s="19" t="s">
        <v>15</v>
      </c>
      <c r="H21" s="19" t="s">
        <v>34</v>
      </c>
      <c r="I21" s="20" t="s">
        <v>6</v>
      </c>
      <c r="J21" s="20" t="s">
        <v>3</v>
      </c>
      <c r="K21" s="20" t="s">
        <v>4</v>
      </c>
      <c r="L21" s="20" t="s">
        <v>4</v>
      </c>
      <c r="M21" s="20" t="s">
        <v>3</v>
      </c>
      <c r="N21" s="20" t="s">
        <v>3</v>
      </c>
      <c r="O21" s="20" t="s">
        <v>2</v>
      </c>
      <c r="P21" s="11" t="s">
        <v>17</v>
      </c>
      <c r="Q21" s="4">
        <v>7.166666666666667</v>
      </c>
      <c r="R21" s="5" t="s">
        <v>664</v>
      </c>
      <c r="S21" s="5" t="b">
        <f>R21=E21</f>
        <v>1</v>
      </c>
    </row>
    <row r="22" spans="1:19" s="5" customFormat="1" ht="42" customHeight="1">
      <c r="A22" s="2">
        <v>20</v>
      </c>
      <c r="B22" s="12">
        <v>2544641095</v>
      </c>
      <c r="C22" s="12">
        <v>250371534028</v>
      </c>
      <c r="D22" s="17">
        <f t="shared" si="0"/>
        <v>250592</v>
      </c>
      <c r="E22" s="13" t="s">
        <v>665</v>
      </c>
      <c r="F22" s="12" t="s">
        <v>21</v>
      </c>
      <c r="G22" s="19" t="s">
        <v>15</v>
      </c>
      <c r="H22" s="19" t="s">
        <v>34</v>
      </c>
      <c r="I22" s="20" t="s">
        <v>6</v>
      </c>
      <c r="J22" s="20" t="s">
        <v>5</v>
      </c>
      <c r="K22" s="20" t="s">
        <v>6</v>
      </c>
      <c r="L22" s="20" t="s">
        <v>4</v>
      </c>
      <c r="M22" s="20" t="s">
        <v>8</v>
      </c>
      <c r="N22" s="20" t="s">
        <v>5</v>
      </c>
      <c r="O22" s="20" t="s">
        <v>2</v>
      </c>
      <c r="P22" s="11" t="s">
        <v>17</v>
      </c>
      <c r="Q22" s="4">
        <v>6.166666666666667</v>
      </c>
      <c r="R22" s="5" t="s">
        <v>665</v>
      </c>
      <c r="S22" s="5" t="b">
        <f>R22=E22</f>
        <v>1</v>
      </c>
    </row>
    <row r="23" spans="1:19" s="5" customFormat="1" ht="42" customHeight="1">
      <c r="A23" s="2">
        <v>21</v>
      </c>
      <c r="B23" s="12">
        <v>2544641036</v>
      </c>
      <c r="C23" s="12">
        <v>250371534029</v>
      </c>
      <c r="D23" s="17">
        <f t="shared" si="0"/>
        <v>250593</v>
      </c>
      <c r="E23" s="13" t="s">
        <v>666</v>
      </c>
      <c r="F23" s="12" t="s">
        <v>21</v>
      </c>
      <c r="G23" s="19" t="s">
        <v>15</v>
      </c>
      <c r="H23" s="19" t="s">
        <v>34</v>
      </c>
      <c r="I23" s="20" t="s">
        <v>7</v>
      </c>
      <c r="J23" s="20" t="s">
        <v>5</v>
      </c>
      <c r="K23" s="20" t="s">
        <v>4</v>
      </c>
      <c r="L23" s="20" t="s">
        <v>3</v>
      </c>
      <c r="M23" s="20" t="s">
        <v>3</v>
      </c>
      <c r="N23" s="20" t="s">
        <v>4</v>
      </c>
      <c r="O23" s="20" t="s">
        <v>2</v>
      </c>
      <c r="P23" s="11" t="s">
        <v>7</v>
      </c>
      <c r="Q23" s="4">
        <v>0</v>
      </c>
      <c r="R23" s="5" t="s">
        <v>666</v>
      </c>
      <c r="S23" s="5" t="b">
        <f>R23=E23</f>
        <v>1</v>
      </c>
    </row>
    <row r="24" spans="1:19" s="5" customFormat="1" ht="42" customHeight="1">
      <c r="A24" s="2">
        <v>22</v>
      </c>
      <c r="B24" s="12">
        <v>2544641096</v>
      </c>
      <c r="C24" s="12">
        <v>250371534030</v>
      </c>
      <c r="D24" s="17">
        <f t="shared" si="0"/>
        <v>250594</v>
      </c>
      <c r="E24" s="13" t="s">
        <v>667</v>
      </c>
      <c r="F24" s="12" t="s">
        <v>21</v>
      </c>
      <c r="G24" s="19" t="s">
        <v>15</v>
      </c>
      <c r="H24" s="19" t="s">
        <v>34</v>
      </c>
      <c r="I24" s="20" t="s">
        <v>5</v>
      </c>
      <c r="J24" s="20" t="s">
        <v>4</v>
      </c>
      <c r="K24" s="20" t="s">
        <v>2</v>
      </c>
      <c r="L24" s="20" t="s">
        <v>3</v>
      </c>
      <c r="M24" s="20" t="s">
        <v>3</v>
      </c>
      <c r="N24" s="20" t="s">
        <v>3</v>
      </c>
      <c r="O24" s="20" t="s">
        <v>2</v>
      </c>
      <c r="P24" s="11" t="s">
        <v>17</v>
      </c>
      <c r="Q24" s="4">
        <v>7.7777777777777777</v>
      </c>
      <c r="R24" s="5" t="s">
        <v>667</v>
      </c>
      <c r="S24" s="5" t="b">
        <f>R24=E24</f>
        <v>1</v>
      </c>
    </row>
    <row r="25" spans="1:19" s="5" customFormat="1" ht="42" customHeight="1">
      <c r="A25" s="2">
        <v>23</v>
      </c>
      <c r="B25" s="12">
        <v>2544641001</v>
      </c>
      <c r="C25" s="12">
        <v>250371534031</v>
      </c>
      <c r="D25" s="17">
        <f t="shared" si="0"/>
        <v>250595</v>
      </c>
      <c r="E25" s="13" t="s">
        <v>668</v>
      </c>
      <c r="F25" s="12" t="s">
        <v>21</v>
      </c>
      <c r="G25" s="19" t="s">
        <v>15</v>
      </c>
      <c r="H25" s="19" t="s">
        <v>34</v>
      </c>
      <c r="I25" s="20" t="s">
        <v>5</v>
      </c>
      <c r="J25" s="20" t="s">
        <v>3</v>
      </c>
      <c r="K25" s="20" t="s">
        <v>2</v>
      </c>
      <c r="L25" s="20" t="s">
        <v>3</v>
      </c>
      <c r="M25" s="20" t="s">
        <v>8</v>
      </c>
      <c r="N25" s="20" t="s">
        <v>3</v>
      </c>
      <c r="O25" s="20" t="s">
        <v>8</v>
      </c>
      <c r="P25" s="11" t="s">
        <v>17</v>
      </c>
      <c r="Q25" s="4">
        <v>8.1111111111111107</v>
      </c>
      <c r="R25" s="5" t="s">
        <v>668</v>
      </c>
      <c r="S25" s="5" t="b">
        <f>R25=E25</f>
        <v>1</v>
      </c>
    </row>
    <row r="26" spans="1:19" s="5" customFormat="1" ht="42" customHeight="1">
      <c r="A26" s="2">
        <v>24</v>
      </c>
      <c r="B26" s="12">
        <v>2544640713</v>
      </c>
      <c r="C26" s="12">
        <v>250371534033</v>
      </c>
      <c r="D26" s="17">
        <f t="shared" si="0"/>
        <v>250596</v>
      </c>
      <c r="E26" s="13" t="s">
        <v>669</v>
      </c>
      <c r="F26" s="12" t="s">
        <v>21</v>
      </c>
      <c r="G26" s="19" t="s">
        <v>15</v>
      </c>
      <c r="H26" s="19" t="s">
        <v>34</v>
      </c>
      <c r="I26" s="20" t="s">
        <v>6</v>
      </c>
      <c r="J26" s="20" t="s">
        <v>4</v>
      </c>
      <c r="K26" s="20" t="s">
        <v>3</v>
      </c>
      <c r="L26" s="20" t="s">
        <v>4</v>
      </c>
      <c r="M26" s="20" t="s">
        <v>2</v>
      </c>
      <c r="N26" s="20" t="s">
        <v>4</v>
      </c>
      <c r="O26" s="20" t="s">
        <v>2</v>
      </c>
      <c r="P26" s="11" t="s">
        <v>17</v>
      </c>
      <c r="Q26" s="4">
        <v>7.1111111111111107</v>
      </c>
      <c r="R26" s="5" t="s">
        <v>669</v>
      </c>
      <c r="S26" s="5" t="b">
        <f>R26=E26</f>
        <v>1</v>
      </c>
    </row>
    <row r="27" spans="1:19" s="5" customFormat="1" ht="42" customHeight="1">
      <c r="A27" s="2">
        <v>25</v>
      </c>
      <c r="B27" s="12">
        <v>2544640487</v>
      </c>
      <c r="C27" s="12">
        <v>250371534034</v>
      </c>
      <c r="D27" s="17">
        <f t="shared" si="0"/>
        <v>250597</v>
      </c>
      <c r="E27" s="13" t="s">
        <v>670</v>
      </c>
      <c r="F27" s="12" t="s">
        <v>21</v>
      </c>
      <c r="G27" s="19" t="s">
        <v>15</v>
      </c>
      <c r="H27" s="19" t="s">
        <v>34</v>
      </c>
      <c r="I27" s="20" t="s">
        <v>7</v>
      </c>
      <c r="J27" s="20" t="s">
        <v>5</v>
      </c>
      <c r="K27" s="20" t="s">
        <v>6</v>
      </c>
      <c r="L27" s="20" t="s">
        <v>4</v>
      </c>
      <c r="M27" s="20" t="s">
        <v>4</v>
      </c>
      <c r="N27" s="20" t="s">
        <v>6</v>
      </c>
      <c r="O27" s="20" t="s">
        <v>2</v>
      </c>
      <c r="P27" s="11" t="s">
        <v>7</v>
      </c>
      <c r="Q27" s="4">
        <v>0</v>
      </c>
      <c r="R27" s="5" t="s">
        <v>670</v>
      </c>
      <c r="S27" s="5" t="b">
        <f>R27=E27</f>
        <v>1</v>
      </c>
    </row>
    <row r="28" spans="1:19" s="5" customFormat="1" ht="42" customHeight="1">
      <c r="A28" s="2">
        <v>26</v>
      </c>
      <c r="B28" s="12">
        <v>2544640382</v>
      </c>
      <c r="C28" s="12">
        <v>250371534035</v>
      </c>
      <c r="D28" s="17">
        <f t="shared" si="0"/>
        <v>250598</v>
      </c>
      <c r="E28" s="13" t="s">
        <v>671</v>
      </c>
      <c r="F28" s="12" t="s">
        <v>21</v>
      </c>
      <c r="G28" s="19" t="s">
        <v>15</v>
      </c>
      <c r="H28" s="19" t="s">
        <v>34</v>
      </c>
      <c r="I28" s="20" t="s">
        <v>7</v>
      </c>
      <c r="J28" s="20" t="s">
        <v>7</v>
      </c>
      <c r="K28" s="20" t="s">
        <v>6</v>
      </c>
      <c r="L28" s="20" t="s">
        <v>5</v>
      </c>
      <c r="M28" s="20" t="s">
        <v>3</v>
      </c>
      <c r="N28" s="20" t="s">
        <v>7</v>
      </c>
      <c r="O28" s="20" t="s">
        <v>2</v>
      </c>
      <c r="P28" s="11" t="s">
        <v>7</v>
      </c>
      <c r="Q28" s="4">
        <v>0</v>
      </c>
      <c r="R28" s="5" t="s">
        <v>671</v>
      </c>
      <c r="S28" s="5" t="b">
        <f>R28=E28</f>
        <v>1</v>
      </c>
    </row>
    <row r="29" spans="1:19" s="5" customFormat="1" ht="42" customHeight="1">
      <c r="A29" s="2">
        <v>27</v>
      </c>
      <c r="B29" s="12">
        <v>2544641033</v>
      </c>
      <c r="C29" s="12">
        <v>250371534037</v>
      </c>
      <c r="D29" s="17">
        <f t="shared" si="0"/>
        <v>250599</v>
      </c>
      <c r="E29" s="13" t="s">
        <v>672</v>
      </c>
      <c r="F29" s="12" t="s">
        <v>21</v>
      </c>
      <c r="G29" s="19" t="s">
        <v>15</v>
      </c>
      <c r="H29" s="19" t="s">
        <v>34</v>
      </c>
      <c r="I29" s="20" t="s">
        <v>4</v>
      </c>
      <c r="J29" s="20" t="s">
        <v>7</v>
      </c>
      <c r="K29" s="20" t="s">
        <v>3</v>
      </c>
      <c r="L29" s="20" t="s">
        <v>3</v>
      </c>
      <c r="M29" s="20" t="s">
        <v>3</v>
      </c>
      <c r="N29" s="20" t="s">
        <v>2</v>
      </c>
      <c r="O29" s="20" t="s">
        <v>8</v>
      </c>
      <c r="P29" s="11" t="s">
        <v>7</v>
      </c>
      <c r="Q29" s="4">
        <v>0</v>
      </c>
      <c r="R29" s="5" t="s">
        <v>672</v>
      </c>
      <c r="S29" s="5" t="b">
        <f>R29=E29</f>
        <v>1</v>
      </c>
    </row>
    <row r="30" spans="1:19" s="5" customFormat="1" ht="42" customHeight="1">
      <c r="A30" s="2">
        <v>28</v>
      </c>
      <c r="B30" s="12">
        <v>2544640911</v>
      </c>
      <c r="C30" s="12">
        <v>250371534039</v>
      </c>
      <c r="D30" s="17">
        <f t="shared" si="0"/>
        <v>250600</v>
      </c>
      <c r="E30" s="13" t="s">
        <v>673</v>
      </c>
      <c r="F30" s="12" t="s">
        <v>21</v>
      </c>
      <c r="G30" s="19" t="s">
        <v>15</v>
      </c>
      <c r="H30" s="19" t="s">
        <v>34</v>
      </c>
      <c r="I30" s="20" t="s">
        <v>11</v>
      </c>
      <c r="J30" s="20" t="s">
        <v>4</v>
      </c>
      <c r="K30" s="20" t="s">
        <v>4</v>
      </c>
      <c r="L30" s="20" t="s">
        <v>3</v>
      </c>
      <c r="M30" s="20" t="s">
        <v>2</v>
      </c>
      <c r="N30" s="20" t="s">
        <v>2</v>
      </c>
      <c r="O30" s="20" t="s">
        <v>2</v>
      </c>
      <c r="P30" s="11" t="s">
        <v>17</v>
      </c>
      <c r="Q30" s="4">
        <v>7.2222222222222223</v>
      </c>
      <c r="R30" s="5" t="s">
        <v>673</v>
      </c>
      <c r="S30" s="5" t="b">
        <f>R30=E30</f>
        <v>1</v>
      </c>
    </row>
    <row r="31" spans="1:19" s="5" customFormat="1" ht="42" customHeight="1">
      <c r="A31" s="2">
        <v>29</v>
      </c>
      <c r="B31" s="12">
        <v>2544641039</v>
      </c>
      <c r="C31" s="12">
        <v>250371534041</v>
      </c>
      <c r="D31" s="17">
        <f t="shared" si="0"/>
        <v>250601</v>
      </c>
      <c r="E31" s="13" t="s">
        <v>674</v>
      </c>
      <c r="F31" s="12" t="s">
        <v>21</v>
      </c>
      <c r="G31" s="19" t="s">
        <v>15</v>
      </c>
      <c r="H31" s="19" t="s">
        <v>34</v>
      </c>
      <c r="I31" s="20" t="s">
        <v>7</v>
      </c>
      <c r="J31" s="20" t="s">
        <v>11</v>
      </c>
      <c r="K31" s="20" t="s">
        <v>6</v>
      </c>
      <c r="L31" s="20" t="s">
        <v>3</v>
      </c>
      <c r="M31" s="20" t="s">
        <v>2</v>
      </c>
      <c r="N31" s="20" t="s">
        <v>4</v>
      </c>
      <c r="O31" s="20" t="s">
        <v>2</v>
      </c>
      <c r="P31" s="11" t="s">
        <v>7</v>
      </c>
      <c r="Q31" s="4">
        <v>0</v>
      </c>
      <c r="R31" s="5" t="s">
        <v>674</v>
      </c>
      <c r="S31" s="5" t="b">
        <f>R31=E31</f>
        <v>1</v>
      </c>
    </row>
    <row r="32" spans="1:19" s="5" customFormat="1" ht="42" customHeight="1">
      <c r="A32" s="2">
        <v>30</v>
      </c>
      <c r="B32" s="12">
        <v>2544641026</v>
      </c>
      <c r="C32" s="12">
        <v>250371534042</v>
      </c>
      <c r="D32" s="17">
        <f t="shared" si="0"/>
        <v>250602</v>
      </c>
      <c r="E32" s="13" t="s">
        <v>675</v>
      </c>
      <c r="F32" s="12" t="s">
        <v>21</v>
      </c>
      <c r="G32" s="19" t="s">
        <v>15</v>
      </c>
      <c r="H32" s="19" t="s">
        <v>34</v>
      </c>
      <c r="I32" s="20" t="s">
        <v>7</v>
      </c>
      <c r="J32" s="20" t="s">
        <v>11</v>
      </c>
      <c r="K32" s="20" t="s">
        <v>6</v>
      </c>
      <c r="L32" s="20" t="s">
        <v>5</v>
      </c>
      <c r="M32" s="20" t="s">
        <v>3</v>
      </c>
      <c r="N32" s="20" t="s">
        <v>4</v>
      </c>
      <c r="O32" s="20" t="s">
        <v>2</v>
      </c>
      <c r="P32" s="11" t="s">
        <v>7</v>
      </c>
      <c r="Q32" s="4">
        <v>0</v>
      </c>
      <c r="R32" s="5" t="s">
        <v>675</v>
      </c>
      <c r="S32" s="5" t="b">
        <f>R32=E32</f>
        <v>1</v>
      </c>
    </row>
  </sheetData>
  <autoFilter ref="A2:S32">
    <filterColumn colId="12"/>
  </autoFilter>
  <mergeCells count="8">
    <mergeCell ref="H1:H2"/>
    <mergeCell ref="Q1:Q2"/>
    <mergeCell ref="A1:A2"/>
    <mergeCell ref="B1:B2"/>
    <mergeCell ref="C1:C2"/>
    <mergeCell ref="E1:E2"/>
    <mergeCell ref="F1:F2"/>
    <mergeCell ref="G1:G2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00B050"/>
  </sheetPr>
  <dimension ref="A1:S14"/>
  <sheetViews>
    <sheetView tabSelected="1" topLeftCell="D7" workbookViewId="0">
      <selection activeCell="L20" sqref="L20"/>
    </sheetView>
  </sheetViews>
  <sheetFormatPr defaultRowHeight="15"/>
  <cols>
    <col min="1" max="1" width="6.5703125" style="6" bestFit="1" customWidth="1"/>
    <col min="2" max="2" width="16.28515625" style="6" customWidth="1"/>
    <col min="3" max="4" width="21.7109375" style="6" customWidth="1"/>
    <col min="5" max="5" width="44.5703125" style="6" customWidth="1"/>
    <col min="6" max="6" width="12.140625" style="9" customWidth="1"/>
    <col min="7" max="8" width="13.42578125" style="6" customWidth="1"/>
    <col min="9" max="9" width="17.85546875" style="6" customWidth="1"/>
    <col min="10" max="10" width="18.5703125" style="6" customWidth="1"/>
    <col min="11" max="11" width="18.85546875" style="6" customWidth="1"/>
    <col min="12" max="16" width="17.85546875" style="6" customWidth="1"/>
    <col min="17" max="17" width="9.140625" style="7" customWidth="1"/>
    <col min="18" max="18" width="67.140625" style="6" customWidth="1"/>
    <col min="19" max="19" width="14.5703125" style="6" customWidth="1"/>
    <col min="20" max="16384" width="9.140625" style="6"/>
  </cols>
  <sheetData>
    <row r="1" spans="1:19" s="8" customFormat="1" ht="127.5" customHeight="1">
      <c r="A1" s="53" t="s">
        <v>1</v>
      </c>
      <c r="B1" s="53" t="s">
        <v>16</v>
      </c>
      <c r="C1" s="53" t="s">
        <v>12</v>
      </c>
      <c r="D1" s="51" t="s">
        <v>1520</v>
      </c>
      <c r="E1" s="53" t="s">
        <v>13</v>
      </c>
      <c r="F1" s="53" t="s">
        <v>14</v>
      </c>
      <c r="G1" s="53" t="s">
        <v>0</v>
      </c>
      <c r="H1" s="53" t="s">
        <v>31</v>
      </c>
      <c r="I1" s="1" t="s">
        <v>78</v>
      </c>
      <c r="J1" s="1" t="s">
        <v>83</v>
      </c>
      <c r="K1" s="1" t="s">
        <v>80</v>
      </c>
      <c r="L1" s="1" t="s">
        <v>688</v>
      </c>
      <c r="M1" s="1" t="s">
        <v>690</v>
      </c>
      <c r="N1" s="1" t="s">
        <v>689</v>
      </c>
      <c r="O1" s="1" t="s">
        <v>691</v>
      </c>
      <c r="P1" s="1" t="s">
        <v>10</v>
      </c>
      <c r="Q1" s="55" t="s">
        <v>9</v>
      </c>
    </row>
    <row r="2" spans="1:19" s="8" customFormat="1" ht="29.25" customHeight="1">
      <c r="A2" s="54"/>
      <c r="B2" s="54"/>
      <c r="C2" s="54"/>
      <c r="D2" s="52"/>
      <c r="E2" s="54"/>
      <c r="F2" s="54"/>
      <c r="G2" s="54"/>
      <c r="H2" s="54"/>
      <c r="I2" s="10">
        <v>3</v>
      </c>
      <c r="J2" s="10">
        <v>3</v>
      </c>
      <c r="K2" s="10">
        <v>4</v>
      </c>
      <c r="L2" s="10">
        <v>3</v>
      </c>
      <c r="M2" s="10">
        <v>1</v>
      </c>
      <c r="N2" s="10">
        <v>3</v>
      </c>
      <c r="O2" s="10">
        <v>1</v>
      </c>
      <c r="P2" s="10">
        <f>SUM(I2:O2)</f>
        <v>18</v>
      </c>
      <c r="Q2" s="56"/>
      <c r="R2" s="8" t="s">
        <v>1542</v>
      </c>
      <c r="S2" s="8" t="s">
        <v>1543</v>
      </c>
    </row>
    <row r="3" spans="1:19" s="5" customFormat="1" ht="42" customHeight="1">
      <c r="A3" s="2">
        <v>1</v>
      </c>
      <c r="B3" s="12">
        <v>2544640893</v>
      </c>
      <c r="C3" s="12">
        <v>250371534001</v>
      </c>
      <c r="D3" s="17">
        <v>250603</v>
      </c>
      <c r="E3" s="13" t="s">
        <v>676</v>
      </c>
      <c r="F3" s="12" t="s">
        <v>21</v>
      </c>
      <c r="G3" s="19" t="s">
        <v>15</v>
      </c>
      <c r="H3" s="19" t="s">
        <v>85</v>
      </c>
      <c r="I3" s="20" t="s">
        <v>7</v>
      </c>
      <c r="J3" s="20" t="s">
        <v>6</v>
      </c>
      <c r="K3" s="20" t="s">
        <v>4</v>
      </c>
      <c r="L3" s="20" t="s">
        <v>3</v>
      </c>
      <c r="M3" s="20" t="s">
        <v>2</v>
      </c>
      <c r="N3" s="20" t="s">
        <v>3</v>
      </c>
      <c r="O3" s="20" t="s">
        <v>3</v>
      </c>
      <c r="P3" s="11" t="s">
        <v>7</v>
      </c>
      <c r="Q3" s="4">
        <v>0</v>
      </c>
      <c r="R3" s="5" t="s">
        <v>676</v>
      </c>
      <c r="S3" s="5" t="b">
        <f>R3=E3</f>
        <v>1</v>
      </c>
    </row>
    <row r="4" spans="1:19" s="5" customFormat="1" ht="42" customHeight="1">
      <c r="A4" s="2">
        <v>2</v>
      </c>
      <c r="B4" s="12">
        <v>2544640938</v>
      </c>
      <c r="C4" s="12">
        <v>250371534002</v>
      </c>
      <c r="D4" s="17">
        <f>D3+1</f>
        <v>250604</v>
      </c>
      <c r="E4" s="13" t="s">
        <v>677</v>
      </c>
      <c r="F4" s="12" t="s">
        <v>21</v>
      </c>
      <c r="G4" s="19" t="s">
        <v>15</v>
      </c>
      <c r="H4" s="19" t="s">
        <v>85</v>
      </c>
      <c r="I4" s="20" t="s">
        <v>6</v>
      </c>
      <c r="J4" s="20" t="s">
        <v>5</v>
      </c>
      <c r="K4" s="20" t="s">
        <v>5</v>
      </c>
      <c r="L4" s="20" t="s">
        <v>4</v>
      </c>
      <c r="M4" s="20" t="s">
        <v>3</v>
      </c>
      <c r="N4" s="20" t="s">
        <v>5</v>
      </c>
      <c r="O4" s="20" t="s">
        <v>2</v>
      </c>
      <c r="P4" s="11" t="s">
        <v>17</v>
      </c>
      <c r="Q4" s="4">
        <v>6.2777777777777777</v>
      </c>
      <c r="R4" s="5" t="s">
        <v>677</v>
      </c>
      <c r="S4" s="5" t="b">
        <f>R4=E4</f>
        <v>1</v>
      </c>
    </row>
    <row r="5" spans="1:19" s="5" customFormat="1" ht="42" customHeight="1">
      <c r="A5" s="2">
        <v>3</v>
      </c>
      <c r="B5" s="12">
        <v>2544640261</v>
      </c>
      <c r="C5" s="12">
        <v>250371534006</v>
      </c>
      <c r="D5" s="17">
        <f t="shared" ref="D5:D14" si="0">D4+1</f>
        <v>250605</v>
      </c>
      <c r="E5" s="13" t="s">
        <v>678</v>
      </c>
      <c r="F5" s="12" t="s">
        <v>21</v>
      </c>
      <c r="G5" s="19" t="s">
        <v>15</v>
      </c>
      <c r="H5" s="19" t="s">
        <v>85</v>
      </c>
      <c r="I5" s="20" t="s">
        <v>11</v>
      </c>
      <c r="J5" s="20" t="s">
        <v>6</v>
      </c>
      <c r="K5" s="20" t="s">
        <v>6</v>
      </c>
      <c r="L5" s="20" t="s">
        <v>4</v>
      </c>
      <c r="M5" s="20" t="s">
        <v>2</v>
      </c>
      <c r="N5" s="20" t="s">
        <v>5</v>
      </c>
      <c r="O5" s="20" t="s">
        <v>2</v>
      </c>
      <c r="P5" s="11" t="s">
        <v>17</v>
      </c>
      <c r="Q5" s="4">
        <v>5.7777777777777777</v>
      </c>
      <c r="R5" s="5" t="s">
        <v>678</v>
      </c>
      <c r="S5" s="5" t="b">
        <f>R5=E5</f>
        <v>1</v>
      </c>
    </row>
    <row r="6" spans="1:19" s="5" customFormat="1" ht="42" customHeight="1">
      <c r="A6" s="2">
        <v>4</v>
      </c>
      <c r="B6" s="12">
        <v>2544641035</v>
      </c>
      <c r="C6" s="12">
        <v>250371534010</v>
      </c>
      <c r="D6" s="17">
        <f t="shared" si="0"/>
        <v>250606</v>
      </c>
      <c r="E6" s="13" t="s">
        <v>679</v>
      </c>
      <c r="F6" s="12" t="s">
        <v>21</v>
      </c>
      <c r="G6" s="19" t="s">
        <v>15</v>
      </c>
      <c r="H6" s="19" t="s">
        <v>85</v>
      </c>
      <c r="I6" s="20" t="s">
        <v>6</v>
      </c>
      <c r="J6" s="20" t="s">
        <v>3</v>
      </c>
      <c r="K6" s="20" t="s">
        <v>4</v>
      </c>
      <c r="L6" s="20" t="s">
        <v>4</v>
      </c>
      <c r="M6" s="20" t="s">
        <v>2</v>
      </c>
      <c r="N6" s="20" t="s">
        <v>5</v>
      </c>
      <c r="O6" s="20" t="s">
        <v>2</v>
      </c>
      <c r="P6" s="11" t="s">
        <v>17</v>
      </c>
      <c r="Q6" s="4">
        <v>6.8888888888888893</v>
      </c>
      <c r="R6" s="5" t="s">
        <v>679</v>
      </c>
      <c r="S6" s="5" t="b">
        <f>R6=E6</f>
        <v>1</v>
      </c>
    </row>
    <row r="7" spans="1:19" s="5" customFormat="1" ht="42" customHeight="1">
      <c r="A7" s="2">
        <v>5</v>
      </c>
      <c r="B7" s="12">
        <v>2544640987</v>
      </c>
      <c r="C7" s="12">
        <v>250371534015</v>
      </c>
      <c r="D7" s="17">
        <f t="shared" si="0"/>
        <v>250607</v>
      </c>
      <c r="E7" s="13" t="s">
        <v>680</v>
      </c>
      <c r="F7" s="12" t="s">
        <v>21</v>
      </c>
      <c r="G7" s="19" t="s">
        <v>15</v>
      </c>
      <c r="H7" s="19" t="s">
        <v>85</v>
      </c>
      <c r="I7" s="20" t="s">
        <v>5</v>
      </c>
      <c r="J7" s="20" t="s">
        <v>4</v>
      </c>
      <c r="K7" s="20" t="s">
        <v>2</v>
      </c>
      <c r="L7" s="20" t="s">
        <v>4</v>
      </c>
      <c r="M7" s="20" t="s">
        <v>2</v>
      </c>
      <c r="N7" s="20" t="s">
        <v>3</v>
      </c>
      <c r="O7" s="20" t="s">
        <v>2</v>
      </c>
      <c r="P7" s="11" t="s">
        <v>17</v>
      </c>
      <c r="Q7" s="4">
        <v>7.666666666666667</v>
      </c>
      <c r="R7" s="5" t="s">
        <v>680</v>
      </c>
      <c r="S7" s="5" t="b">
        <f>R7=E7</f>
        <v>1</v>
      </c>
    </row>
    <row r="8" spans="1:19" s="5" customFormat="1" ht="42" customHeight="1">
      <c r="A8" s="2">
        <v>6</v>
      </c>
      <c r="B8" s="12">
        <v>2544640821</v>
      </c>
      <c r="C8" s="12">
        <v>250371534016</v>
      </c>
      <c r="D8" s="17">
        <f t="shared" si="0"/>
        <v>250608</v>
      </c>
      <c r="E8" s="13" t="s">
        <v>681</v>
      </c>
      <c r="F8" s="12" t="s">
        <v>21</v>
      </c>
      <c r="G8" s="19" t="s">
        <v>15</v>
      </c>
      <c r="H8" s="19" t="s">
        <v>85</v>
      </c>
      <c r="I8" s="20" t="s">
        <v>4</v>
      </c>
      <c r="J8" s="20" t="s">
        <v>4</v>
      </c>
      <c r="K8" s="20" t="s">
        <v>3</v>
      </c>
      <c r="L8" s="20" t="s">
        <v>3</v>
      </c>
      <c r="M8" s="20" t="s">
        <v>3</v>
      </c>
      <c r="N8" s="20" t="s">
        <v>3</v>
      </c>
      <c r="O8" s="20" t="s">
        <v>8</v>
      </c>
      <c r="P8" s="11" t="s">
        <v>17</v>
      </c>
      <c r="Q8" s="4">
        <v>7.7777777777777777</v>
      </c>
      <c r="R8" s="5" t="s">
        <v>681</v>
      </c>
      <c r="S8" s="5" t="b">
        <f>R8=E8</f>
        <v>1</v>
      </c>
    </row>
    <row r="9" spans="1:19" s="5" customFormat="1" ht="42" customHeight="1">
      <c r="A9" s="2">
        <v>7</v>
      </c>
      <c r="B9" s="12">
        <v>2544640993</v>
      </c>
      <c r="C9" s="12">
        <v>250371534017</v>
      </c>
      <c r="D9" s="17">
        <f t="shared" si="0"/>
        <v>250609</v>
      </c>
      <c r="E9" s="13" t="s">
        <v>682</v>
      </c>
      <c r="F9" s="12" t="s">
        <v>21</v>
      </c>
      <c r="G9" s="19" t="s">
        <v>15</v>
      </c>
      <c r="H9" s="19" t="s">
        <v>85</v>
      </c>
      <c r="I9" s="20" t="s">
        <v>7</v>
      </c>
      <c r="J9" s="20" t="s">
        <v>7</v>
      </c>
      <c r="K9" s="20" t="s">
        <v>7</v>
      </c>
      <c r="L9" s="20" t="s">
        <v>11</v>
      </c>
      <c r="M9" s="20" t="s">
        <v>3</v>
      </c>
      <c r="N9" s="20" t="s">
        <v>7</v>
      </c>
      <c r="O9" s="20" t="s">
        <v>2</v>
      </c>
      <c r="P9" s="11" t="s">
        <v>7</v>
      </c>
      <c r="Q9" s="4">
        <v>0</v>
      </c>
      <c r="R9" s="5" t="s">
        <v>682</v>
      </c>
      <c r="S9" s="5" t="b">
        <f>R9=E9</f>
        <v>1</v>
      </c>
    </row>
    <row r="10" spans="1:19" s="5" customFormat="1" ht="42" customHeight="1">
      <c r="A10" s="2">
        <v>8</v>
      </c>
      <c r="B10" s="12">
        <v>2544641038</v>
      </c>
      <c r="C10" s="12">
        <v>250371534019</v>
      </c>
      <c r="D10" s="17">
        <f t="shared" si="0"/>
        <v>250610</v>
      </c>
      <c r="E10" s="13" t="s">
        <v>683</v>
      </c>
      <c r="F10" s="12" t="s">
        <v>21</v>
      </c>
      <c r="G10" s="19" t="s">
        <v>15</v>
      </c>
      <c r="H10" s="19" t="s">
        <v>85</v>
      </c>
      <c r="I10" s="20" t="s">
        <v>3</v>
      </c>
      <c r="J10" s="20" t="s">
        <v>2</v>
      </c>
      <c r="K10" s="20" t="s">
        <v>3</v>
      </c>
      <c r="L10" s="20" t="s">
        <v>4</v>
      </c>
      <c r="M10" s="20" t="s">
        <v>3</v>
      </c>
      <c r="N10" s="20" t="s">
        <v>3</v>
      </c>
      <c r="O10" s="20" t="s">
        <v>8</v>
      </c>
      <c r="P10" s="11" t="s">
        <v>17</v>
      </c>
      <c r="Q10" s="4">
        <v>8.1111111111111107</v>
      </c>
      <c r="R10" s="5" t="s">
        <v>683</v>
      </c>
      <c r="S10" s="5" t="b">
        <f>R10=E10</f>
        <v>1</v>
      </c>
    </row>
    <row r="11" spans="1:19" s="5" customFormat="1" ht="42" customHeight="1">
      <c r="A11" s="2">
        <v>9</v>
      </c>
      <c r="B11" s="12">
        <v>2544640943</v>
      </c>
      <c r="C11" s="12">
        <v>250371534032</v>
      </c>
      <c r="D11" s="17">
        <f t="shared" si="0"/>
        <v>250611</v>
      </c>
      <c r="E11" s="13" t="s">
        <v>684</v>
      </c>
      <c r="F11" s="12" t="s">
        <v>21</v>
      </c>
      <c r="G11" s="19" t="s">
        <v>15</v>
      </c>
      <c r="H11" s="19" t="s">
        <v>85</v>
      </c>
      <c r="I11" s="20" t="s">
        <v>4</v>
      </c>
      <c r="J11" s="20" t="s">
        <v>3</v>
      </c>
      <c r="K11" s="20" t="s">
        <v>2</v>
      </c>
      <c r="L11" s="20" t="s">
        <v>3</v>
      </c>
      <c r="M11" s="20" t="s">
        <v>2</v>
      </c>
      <c r="N11" s="20" t="s">
        <v>3</v>
      </c>
      <c r="O11" s="20" t="s">
        <v>8</v>
      </c>
      <c r="P11" s="11" t="s">
        <v>17</v>
      </c>
      <c r="Q11" s="4">
        <v>8.2222222222222214</v>
      </c>
      <c r="R11" s="5" t="s">
        <v>684</v>
      </c>
      <c r="S11" s="5" t="b">
        <f>R11=E11</f>
        <v>1</v>
      </c>
    </row>
    <row r="12" spans="1:19" s="5" customFormat="1" ht="42" customHeight="1">
      <c r="A12" s="2">
        <v>10</v>
      </c>
      <c r="B12" s="12">
        <v>2544640434</v>
      </c>
      <c r="C12" s="12">
        <v>250371534036</v>
      </c>
      <c r="D12" s="17">
        <f t="shared" si="0"/>
        <v>250612</v>
      </c>
      <c r="E12" s="13" t="s">
        <v>685</v>
      </c>
      <c r="F12" s="12" t="s">
        <v>21</v>
      </c>
      <c r="G12" s="19" t="s">
        <v>15</v>
      </c>
      <c r="H12" s="19" t="s">
        <v>85</v>
      </c>
      <c r="I12" s="20" t="s">
        <v>6</v>
      </c>
      <c r="J12" s="20" t="s">
        <v>5</v>
      </c>
      <c r="K12" s="20" t="s">
        <v>5</v>
      </c>
      <c r="L12" s="20" t="s">
        <v>3</v>
      </c>
      <c r="M12" s="20" t="s">
        <v>8</v>
      </c>
      <c r="N12" s="20" t="s">
        <v>3</v>
      </c>
      <c r="O12" s="20" t="s">
        <v>2</v>
      </c>
      <c r="P12" s="11" t="s">
        <v>17</v>
      </c>
      <c r="Q12" s="4">
        <v>6.8888888888888893</v>
      </c>
      <c r="R12" s="5" t="s">
        <v>685</v>
      </c>
      <c r="S12" s="5" t="b">
        <f>R12=E12</f>
        <v>1</v>
      </c>
    </row>
    <row r="13" spans="1:19" s="5" customFormat="1" ht="42" customHeight="1">
      <c r="A13" s="2">
        <v>11</v>
      </c>
      <c r="B13" s="12">
        <v>2544640935</v>
      </c>
      <c r="C13" s="12">
        <v>250371534038</v>
      </c>
      <c r="D13" s="17">
        <f t="shared" si="0"/>
        <v>250613</v>
      </c>
      <c r="E13" s="13" t="s">
        <v>686</v>
      </c>
      <c r="F13" s="12" t="s">
        <v>21</v>
      </c>
      <c r="G13" s="19" t="s">
        <v>15</v>
      </c>
      <c r="H13" s="19" t="s">
        <v>85</v>
      </c>
      <c r="I13" s="20" t="s">
        <v>2</v>
      </c>
      <c r="J13" s="20" t="s">
        <v>2</v>
      </c>
      <c r="K13" s="20" t="s">
        <v>3</v>
      </c>
      <c r="L13" s="20" t="s">
        <v>2</v>
      </c>
      <c r="M13" s="20" t="s">
        <v>2</v>
      </c>
      <c r="N13" s="20" t="s">
        <v>2</v>
      </c>
      <c r="O13" s="20" t="s">
        <v>8</v>
      </c>
      <c r="P13" s="11" t="s">
        <v>17</v>
      </c>
      <c r="Q13" s="4">
        <v>8.8333333333333339</v>
      </c>
      <c r="R13" s="5" t="s">
        <v>686</v>
      </c>
      <c r="S13" s="5" t="b">
        <f>R13=E13</f>
        <v>1</v>
      </c>
    </row>
    <row r="14" spans="1:19" s="5" customFormat="1" ht="42" customHeight="1">
      <c r="A14" s="2">
        <v>12</v>
      </c>
      <c r="B14" s="12">
        <v>2544640279</v>
      </c>
      <c r="C14" s="12">
        <v>250371534040</v>
      </c>
      <c r="D14" s="17">
        <f t="shared" si="0"/>
        <v>250614</v>
      </c>
      <c r="E14" s="13" t="s">
        <v>687</v>
      </c>
      <c r="F14" s="12" t="s">
        <v>21</v>
      </c>
      <c r="G14" s="19" t="s">
        <v>15</v>
      </c>
      <c r="H14" s="19" t="s">
        <v>85</v>
      </c>
      <c r="I14" s="20" t="s">
        <v>4</v>
      </c>
      <c r="J14" s="20" t="s">
        <v>4</v>
      </c>
      <c r="K14" s="20" t="s">
        <v>2</v>
      </c>
      <c r="L14" s="20" t="s">
        <v>3</v>
      </c>
      <c r="M14" s="20" t="s">
        <v>2</v>
      </c>
      <c r="N14" s="20" t="s">
        <v>3</v>
      </c>
      <c r="O14" s="20" t="s">
        <v>2</v>
      </c>
      <c r="P14" s="11" t="s">
        <v>17</v>
      </c>
      <c r="Q14" s="4">
        <v>8</v>
      </c>
      <c r="R14" s="5" t="s">
        <v>687</v>
      </c>
      <c r="S14" s="5" t="b">
        <f>R14=E14</f>
        <v>1</v>
      </c>
    </row>
  </sheetData>
  <autoFilter ref="A2:S2">
    <filterColumn colId="12"/>
  </autoFilter>
  <mergeCells count="8">
    <mergeCell ref="H1:H2"/>
    <mergeCell ref="Q1:Q2"/>
    <mergeCell ref="A1:A2"/>
    <mergeCell ref="B1:B2"/>
    <mergeCell ref="C1:C2"/>
    <mergeCell ref="E1:E2"/>
    <mergeCell ref="F1:F2"/>
    <mergeCell ref="G1:G2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filterMode="1"/>
  <dimension ref="A1:P12"/>
  <sheetViews>
    <sheetView zoomScale="85" zoomScaleNormal="85" workbookViewId="0">
      <selection activeCell="L39" sqref="L39"/>
    </sheetView>
  </sheetViews>
  <sheetFormatPr defaultRowHeight="15"/>
  <cols>
    <col min="1" max="1" width="6.5703125" style="6" bestFit="1" customWidth="1"/>
    <col min="2" max="2" width="16.28515625" style="6" customWidth="1"/>
    <col min="3" max="3" width="18.28515625" style="6" bestFit="1" customWidth="1"/>
    <col min="4" max="4" width="44.5703125" style="6" customWidth="1"/>
    <col min="5" max="5" width="12.140625" style="9" customWidth="1"/>
    <col min="6" max="7" width="13.42578125" style="6" customWidth="1"/>
    <col min="8" max="8" width="17.85546875" style="6" customWidth="1"/>
    <col min="9" max="9" width="18.5703125" style="6" customWidth="1"/>
    <col min="10" max="10" width="18.85546875" style="6" customWidth="1"/>
    <col min="11" max="15" width="17.85546875" style="6" customWidth="1"/>
    <col min="16" max="16" width="8.5703125" style="7" bestFit="1" customWidth="1"/>
    <col min="17" max="16384" width="9.140625" style="6"/>
  </cols>
  <sheetData>
    <row r="1" spans="1:16" s="8" customFormat="1" ht="127.5" customHeight="1">
      <c r="A1" s="53" t="s">
        <v>1</v>
      </c>
      <c r="B1" s="53" t="s">
        <v>16</v>
      </c>
      <c r="C1" s="53" t="s">
        <v>12</v>
      </c>
      <c r="D1" s="53" t="s">
        <v>13</v>
      </c>
      <c r="E1" s="53" t="s">
        <v>14</v>
      </c>
      <c r="F1" s="53" t="s">
        <v>0</v>
      </c>
      <c r="G1" s="53" t="s">
        <v>31</v>
      </c>
      <c r="H1" s="1" t="s">
        <v>78</v>
      </c>
      <c r="I1" s="1" t="s">
        <v>79</v>
      </c>
      <c r="J1" s="1" t="s">
        <v>80</v>
      </c>
      <c r="K1" s="1" t="s">
        <v>614</v>
      </c>
      <c r="L1" s="1" t="s">
        <v>615</v>
      </c>
      <c r="M1" s="1" t="s">
        <v>616</v>
      </c>
      <c r="N1" s="1" t="s">
        <v>617</v>
      </c>
      <c r="O1" s="1" t="s">
        <v>10</v>
      </c>
      <c r="P1" s="55" t="s">
        <v>9</v>
      </c>
    </row>
    <row r="2" spans="1:16" s="8" customFormat="1" ht="29.25" hidden="1" customHeight="1">
      <c r="A2" s="54"/>
      <c r="B2" s="54"/>
      <c r="C2" s="54"/>
      <c r="D2" s="54"/>
      <c r="E2" s="54"/>
      <c r="F2" s="54"/>
      <c r="G2" s="54"/>
      <c r="H2" s="10">
        <v>3</v>
      </c>
      <c r="I2" s="10">
        <v>3</v>
      </c>
      <c r="J2" s="10">
        <v>4</v>
      </c>
      <c r="K2" s="10">
        <v>3</v>
      </c>
      <c r="L2" s="10">
        <v>3</v>
      </c>
      <c r="M2" s="10">
        <v>1</v>
      </c>
      <c r="N2" s="10">
        <v>1</v>
      </c>
      <c r="O2" s="10">
        <f>SUM(H2:N2)</f>
        <v>18</v>
      </c>
      <c r="P2" s="56"/>
    </row>
    <row r="3" spans="1:16" s="5" customFormat="1" ht="42" hidden="1" customHeight="1">
      <c r="A3" s="2">
        <v>1</v>
      </c>
      <c r="B3" s="17">
        <v>2558720054</v>
      </c>
      <c r="C3" s="17">
        <v>250371538001</v>
      </c>
      <c r="D3" s="18" t="s">
        <v>618</v>
      </c>
      <c r="E3" s="17" t="s">
        <v>18</v>
      </c>
      <c r="F3" s="19" t="s">
        <v>15</v>
      </c>
      <c r="G3" s="19" t="s">
        <v>34</v>
      </c>
      <c r="H3" s="20" t="s">
        <v>6</v>
      </c>
      <c r="I3" s="20" t="s">
        <v>11</v>
      </c>
      <c r="J3" s="20" t="s">
        <v>11</v>
      </c>
      <c r="K3" s="20" t="s">
        <v>11</v>
      </c>
      <c r="L3" s="20" t="s">
        <v>7</v>
      </c>
      <c r="M3" s="20" t="s">
        <v>2</v>
      </c>
      <c r="N3" s="20" t="s">
        <v>2</v>
      </c>
      <c r="O3" s="11" t="s">
        <v>7</v>
      </c>
      <c r="P3" s="4">
        <v>0</v>
      </c>
    </row>
    <row r="4" spans="1:16" s="5" customFormat="1" ht="42" customHeight="1">
      <c r="A4" s="2">
        <v>2</v>
      </c>
      <c r="B4" s="17">
        <v>2558720205</v>
      </c>
      <c r="C4" s="17">
        <v>250371538005</v>
      </c>
      <c r="D4" s="18" t="s">
        <v>619</v>
      </c>
      <c r="E4" s="17" t="s">
        <v>18</v>
      </c>
      <c r="F4" s="19" t="s">
        <v>15</v>
      </c>
      <c r="G4" s="19" t="s">
        <v>34</v>
      </c>
      <c r="H4" s="20" t="s">
        <v>3</v>
      </c>
      <c r="I4" s="20" t="s">
        <v>11</v>
      </c>
      <c r="J4" s="20" t="s">
        <v>4</v>
      </c>
      <c r="K4" s="20" t="s">
        <v>11</v>
      </c>
      <c r="L4" s="20" t="s">
        <v>6</v>
      </c>
      <c r="M4" s="20" t="s">
        <v>2</v>
      </c>
      <c r="N4" s="20" t="s">
        <v>2</v>
      </c>
      <c r="O4" s="11" t="s">
        <v>17</v>
      </c>
      <c r="P4" s="4">
        <v>6.0555555555555554</v>
      </c>
    </row>
    <row r="5" spans="1:16" s="5" customFormat="1" ht="42" customHeight="1">
      <c r="A5" s="2">
        <v>3</v>
      </c>
      <c r="B5" s="17">
        <v>2558720066</v>
      </c>
      <c r="C5" s="17">
        <v>250371538006</v>
      </c>
      <c r="D5" s="18" t="s">
        <v>620</v>
      </c>
      <c r="E5" s="17" t="s">
        <v>18</v>
      </c>
      <c r="F5" s="19" t="s">
        <v>15</v>
      </c>
      <c r="G5" s="19" t="s">
        <v>34</v>
      </c>
      <c r="H5" s="20" t="s">
        <v>5</v>
      </c>
      <c r="I5" s="20" t="s">
        <v>6</v>
      </c>
      <c r="J5" s="20" t="s">
        <v>5</v>
      </c>
      <c r="K5" s="20" t="s">
        <v>11</v>
      </c>
      <c r="L5" s="20" t="s">
        <v>5</v>
      </c>
      <c r="M5" s="20" t="s">
        <v>2</v>
      </c>
      <c r="N5" s="20" t="s">
        <v>2</v>
      </c>
      <c r="O5" s="11" t="s">
        <v>17</v>
      </c>
      <c r="P5" s="4">
        <v>5.833333333333333</v>
      </c>
    </row>
    <row r="6" spans="1:16" s="5" customFormat="1" ht="42" customHeight="1">
      <c r="A6" s="2">
        <v>4</v>
      </c>
      <c r="B6" s="17">
        <v>2558720043</v>
      </c>
      <c r="C6" s="17">
        <v>250371538014</v>
      </c>
      <c r="D6" s="18" t="s">
        <v>621</v>
      </c>
      <c r="E6" s="17" t="s">
        <v>18</v>
      </c>
      <c r="F6" s="19" t="s">
        <v>15</v>
      </c>
      <c r="G6" s="19" t="s">
        <v>34</v>
      </c>
      <c r="H6" s="20" t="s">
        <v>11</v>
      </c>
      <c r="I6" s="20" t="s">
        <v>11</v>
      </c>
      <c r="J6" s="20" t="s">
        <v>11</v>
      </c>
      <c r="K6" s="20" t="s">
        <v>11</v>
      </c>
      <c r="L6" s="20" t="s">
        <v>11</v>
      </c>
      <c r="M6" s="20" t="s">
        <v>2</v>
      </c>
      <c r="N6" s="20" t="s">
        <v>2</v>
      </c>
      <c r="O6" s="11" t="s">
        <v>17</v>
      </c>
      <c r="P6" s="4">
        <v>4.5555555555555554</v>
      </c>
    </row>
    <row r="7" spans="1:16" s="5" customFormat="1" ht="42" customHeight="1">
      <c r="A7" s="2">
        <v>5</v>
      </c>
      <c r="B7" s="17">
        <v>2558720272</v>
      </c>
      <c r="C7" s="17">
        <v>250371538018</v>
      </c>
      <c r="D7" s="18" t="s">
        <v>622</v>
      </c>
      <c r="E7" s="17" t="s">
        <v>18</v>
      </c>
      <c r="F7" s="19" t="s">
        <v>15</v>
      </c>
      <c r="G7" s="19" t="s">
        <v>34</v>
      </c>
      <c r="H7" s="20" t="s">
        <v>4</v>
      </c>
      <c r="I7" s="20" t="s">
        <v>3</v>
      </c>
      <c r="J7" s="20" t="s">
        <v>3</v>
      </c>
      <c r="K7" s="20" t="s">
        <v>5</v>
      </c>
      <c r="L7" s="20" t="s">
        <v>5</v>
      </c>
      <c r="M7" s="20" t="s">
        <v>8</v>
      </c>
      <c r="N7" s="20" t="s">
        <v>8</v>
      </c>
      <c r="O7" s="11" t="s">
        <v>17</v>
      </c>
      <c r="P7" s="4">
        <v>7.3888888888888893</v>
      </c>
    </row>
    <row r="8" spans="1:16" s="5" customFormat="1" ht="42" hidden="1" customHeight="1">
      <c r="A8" s="2">
        <v>6</v>
      </c>
      <c r="B8" s="17">
        <v>2558720218</v>
      </c>
      <c r="C8" s="17">
        <v>250371538020</v>
      </c>
      <c r="D8" s="18" t="s">
        <v>623</v>
      </c>
      <c r="E8" s="17" t="s">
        <v>18</v>
      </c>
      <c r="F8" s="19" t="s">
        <v>15</v>
      </c>
      <c r="G8" s="19" t="s">
        <v>34</v>
      </c>
      <c r="H8" s="20" t="s">
        <v>2</v>
      </c>
      <c r="I8" s="20" t="s">
        <v>7</v>
      </c>
      <c r="J8" s="20" t="s">
        <v>4</v>
      </c>
      <c r="K8" s="20" t="s">
        <v>6</v>
      </c>
      <c r="L8" s="20" t="s">
        <v>6</v>
      </c>
      <c r="M8" s="20" t="s">
        <v>2</v>
      </c>
      <c r="N8" s="20" t="s">
        <v>2</v>
      </c>
      <c r="O8" s="11" t="s">
        <v>7</v>
      </c>
      <c r="P8" s="4">
        <v>0</v>
      </c>
    </row>
    <row r="9" spans="1:16" s="5" customFormat="1" ht="42" customHeight="1">
      <c r="A9" s="2">
        <v>7</v>
      </c>
      <c r="B9" s="17">
        <v>2558720242</v>
      </c>
      <c r="C9" s="17">
        <v>250371538021</v>
      </c>
      <c r="D9" s="18" t="s">
        <v>624</v>
      </c>
      <c r="E9" s="17" t="s">
        <v>18</v>
      </c>
      <c r="F9" s="19" t="s">
        <v>15</v>
      </c>
      <c r="G9" s="19" t="s">
        <v>34</v>
      </c>
      <c r="H9" s="20" t="s">
        <v>5</v>
      </c>
      <c r="I9" s="20" t="s">
        <v>5</v>
      </c>
      <c r="J9" s="20" t="s">
        <v>4</v>
      </c>
      <c r="K9" s="20" t="s">
        <v>6</v>
      </c>
      <c r="L9" s="20" t="s">
        <v>6</v>
      </c>
      <c r="M9" s="20" t="s">
        <v>2</v>
      </c>
      <c r="N9" s="20" t="s">
        <v>2</v>
      </c>
      <c r="O9" s="11" t="s">
        <v>17</v>
      </c>
      <c r="P9" s="4">
        <v>6.2222222222222223</v>
      </c>
    </row>
    <row r="10" spans="1:16" s="5" customFormat="1" ht="42" customHeight="1">
      <c r="A10" s="2">
        <v>8</v>
      </c>
      <c r="B10" s="17">
        <v>2558720262</v>
      </c>
      <c r="C10" s="17">
        <v>250371538023</v>
      </c>
      <c r="D10" s="18" t="s">
        <v>625</v>
      </c>
      <c r="E10" s="17" t="s">
        <v>18</v>
      </c>
      <c r="F10" s="19" t="s">
        <v>15</v>
      </c>
      <c r="G10" s="19" t="s">
        <v>34</v>
      </c>
      <c r="H10" s="20" t="s">
        <v>11</v>
      </c>
      <c r="I10" s="20" t="s">
        <v>6</v>
      </c>
      <c r="J10" s="20" t="s">
        <v>11</v>
      </c>
      <c r="K10" s="20" t="s">
        <v>11</v>
      </c>
      <c r="L10" s="20" t="s">
        <v>11</v>
      </c>
      <c r="M10" s="20" t="s">
        <v>2</v>
      </c>
      <c r="N10" s="20" t="s">
        <v>2</v>
      </c>
      <c r="O10" s="11" t="s">
        <v>17</v>
      </c>
      <c r="P10" s="4">
        <v>4.7222222222222223</v>
      </c>
    </row>
    <row r="11" spans="1:16" s="5" customFormat="1" ht="42" customHeight="1">
      <c r="A11" s="2">
        <v>9</v>
      </c>
      <c r="B11" s="17">
        <v>2558720206</v>
      </c>
      <c r="C11" s="17">
        <v>250371538024</v>
      </c>
      <c r="D11" s="18" t="s">
        <v>626</v>
      </c>
      <c r="E11" s="17" t="s">
        <v>18</v>
      </c>
      <c r="F11" s="19" t="s">
        <v>15</v>
      </c>
      <c r="G11" s="19" t="s">
        <v>34</v>
      </c>
      <c r="H11" s="20" t="s">
        <v>4</v>
      </c>
      <c r="I11" s="20" t="s">
        <v>4</v>
      </c>
      <c r="J11" s="20" t="s">
        <v>11</v>
      </c>
      <c r="K11" s="20" t="s">
        <v>11</v>
      </c>
      <c r="L11" s="20" t="s">
        <v>11</v>
      </c>
      <c r="M11" s="20" t="s">
        <v>2</v>
      </c>
      <c r="N11" s="20" t="s">
        <v>2</v>
      </c>
      <c r="O11" s="11" t="s">
        <v>17</v>
      </c>
      <c r="P11" s="4">
        <v>5.5555555555555554</v>
      </c>
    </row>
    <row r="12" spans="1:16" s="5" customFormat="1" ht="42" customHeight="1">
      <c r="A12" s="2">
        <v>10</v>
      </c>
      <c r="B12" s="17">
        <v>2558720203</v>
      </c>
      <c r="C12" s="17">
        <v>250371538026</v>
      </c>
      <c r="D12" s="18" t="s">
        <v>627</v>
      </c>
      <c r="E12" s="17" t="s">
        <v>18</v>
      </c>
      <c r="F12" s="19" t="s">
        <v>15</v>
      </c>
      <c r="G12" s="19" t="s">
        <v>34</v>
      </c>
      <c r="H12" s="20" t="s">
        <v>5</v>
      </c>
      <c r="I12" s="20" t="s">
        <v>11</v>
      </c>
      <c r="J12" s="20" t="s">
        <v>4</v>
      </c>
      <c r="K12" s="20" t="s">
        <v>11</v>
      </c>
      <c r="L12" s="20" t="s">
        <v>6</v>
      </c>
      <c r="M12" s="20" t="s">
        <v>2</v>
      </c>
      <c r="N12" s="20" t="s">
        <v>2</v>
      </c>
      <c r="O12" s="11" t="s">
        <v>17</v>
      </c>
      <c r="P12" s="4">
        <v>5.7222222222222223</v>
      </c>
    </row>
  </sheetData>
  <autoFilter ref="A1:P12">
    <filterColumn colId="6"/>
    <filterColumn colId="10"/>
    <filterColumn colId="11"/>
    <filterColumn colId="12"/>
    <filterColumn colId="13"/>
    <filterColumn colId="14">
      <filters>
        <filter val="PASS"/>
      </filters>
    </filterColumn>
  </autoFilter>
  <mergeCells count="8">
    <mergeCell ref="G1:G2"/>
    <mergeCell ref="P1:P2"/>
    <mergeCell ref="A1:A2"/>
    <mergeCell ref="B1:B2"/>
    <mergeCell ref="C1:C2"/>
    <mergeCell ref="D1:D2"/>
    <mergeCell ref="E1:E2"/>
    <mergeCell ref="F1:F2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filterMode="1"/>
  <dimension ref="A1:P21"/>
  <sheetViews>
    <sheetView zoomScale="70" zoomScaleNormal="70" workbookViewId="0">
      <selection activeCell="L39" sqref="L39"/>
    </sheetView>
  </sheetViews>
  <sheetFormatPr defaultRowHeight="15"/>
  <cols>
    <col min="1" max="1" width="6.5703125" style="6" bestFit="1" customWidth="1"/>
    <col min="2" max="2" width="16.28515625" style="6" customWidth="1"/>
    <col min="3" max="3" width="18.28515625" style="6" bestFit="1" customWidth="1"/>
    <col min="4" max="4" width="44.5703125" style="6" customWidth="1"/>
    <col min="5" max="5" width="12.140625" style="9" customWidth="1"/>
    <col min="6" max="7" width="13.42578125" style="6" customWidth="1"/>
    <col min="8" max="8" width="17.85546875" style="6" customWidth="1"/>
    <col min="9" max="9" width="18.5703125" style="6" customWidth="1"/>
    <col min="10" max="10" width="18.85546875" style="6" customWidth="1"/>
    <col min="11" max="15" width="17.85546875" style="6" customWidth="1"/>
    <col min="16" max="16" width="9.140625" style="7" customWidth="1"/>
    <col min="17" max="16384" width="9.140625" style="6"/>
  </cols>
  <sheetData>
    <row r="1" spans="1:16" s="8" customFormat="1" ht="127.5" customHeight="1">
      <c r="A1" s="53" t="s">
        <v>1</v>
      </c>
      <c r="B1" s="53" t="s">
        <v>16</v>
      </c>
      <c r="C1" s="53" t="s">
        <v>12</v>
      </c>
      <c r="D1" s="53" t="s">
        <v>13</v>
      </c>
      <c r="E1" s="53" t="s">
        <v>14</v>
      </c>
      <c r="F1" s="53" t="s">
        <v>0</v>
      </c>
      <c r="G1" s="53" t="s">
        <v>31</v>
      </c>
      <c r="H1" s="1" t="s">
        <v>78</v>
      </c>
      <c r="I1" s="1" t="s">
        <v>83</v>
      </c>
      <c r="J1" s="1" t="s">
        <v>80</v>
      </c>
      <c r="K1" s="1" t="s">
        <v>614</v>
      </c>
      <c r="L1" s="1" t="s">
        <v>615</v>
      </c>
      <c r="M1" s="1" t="s">
        <v>616</v>
      </c>
      <c r="N1" s="1" t="s">
        <v>617</v>
      </c>
      <c r="O1" s="1" t="s">
        <v>10</v>
      </c>
      <c r="P1" s="55" t="s">
        <v>9</v>
      </c>
    </row>
    <row r="2" spans="1:16" s="8" customFormat="1" ht="29.25" hidden="1" customHeight="1">
      <c r="A2" s="54"/>
      <c r="B2" s="54"/>
      <c r="C2" s="54"/>
      <c r="D2" s="54"/>
      <c r="E2" s="54"/>
      <c r="F2" s="54"/>
      <c r="G2" s="54"/>
      <c r="H2" s="10">
        <v>3</v>
      </c>
      <c r="I2" s="10">
        <v>3</v>
      </c>
      <c r="J2" s="10">
        <v>4</v>
      </c>
      <c r="K2" s="10">
        <v>3</v>
      </c>
      <c r="L2" s="10">
        <v>3</v>
      </c>
      <c r="M2" s="10">
        <v>1</v>
      </c>
      <c r="N2" s="10">
        <v>1</v>
      </c>
      <c r="O2" s="10">
        <f>SUM(H2:N2)</f>
        <v>18</v>
      </c>
      <c r="P2" s="56"/>
    </row>
    <row r="3" spans="1:16" s="5" customFormat="1" ht="42" customHeight="1">
      <c r="A3" s="2">
        <v>1</v>
      </c>
      <c r="B3" s="21">
        <v>2558720013</v>
      </c>
      <c r="C3" s="12">
        <v>250371538002</v>
      </c>
      <c r="D3" s="13" t="s">
        <v>628</v>
      </c>
      <c r="E3" s="12" t="s">
        <v>18</v>
      </c>
      <c r="F3" s="19" t="s">
        <v>15</v>
      </c>
      <c r="G3" s="19" t="s">
        <v>85</v>
      </c>
      <c r="H3" s="20" t="s">
        <v>6</v>
      </c>
      <c r="I3" s="20" t="s">
        <v>11</v>
      </c>
      <c r="J3" s="20" t="s">
        <v>4</v>
      </c>
      <c r="K3" s="20" t="s">
        <v>11</v>
      </c>
      <c r="L3" s="20" t="s">
        <v>6</v>
      </c>
      <c r="M3" s="20" t="s">
        <v>2</v>
      </c>
      <c r="N3" s="20" t="s">
        <v>2</v>
      </c>
      <c r="O3" s="11" t="s">
        <v>17</v>
      </c>
      <c r="P3" s="4">
        <v>5.5555555555555554</v>
      </c>
    </row>
    <row r="4" spans="1:16" s="5" customFormat="1" ht="42" customHeight="1">
      <c r="A4" s="2">
        <v>2</v>
      </c>
      <c r="B4" s="21">
        <v>2558720064</v>
      </c>
      <c r="C4" s="12">
        <v>250371538003</v>
      </c>
      <c r="D4" s="13" t="s">
        <v>629</v>
      </c>
      <c r="E4" s="12" t="s">
        <v>18</v>
      </c>
      <c r="F4" s="19" t="s">
        <v>15</v>
      </c>
      <c r="G4" s="19" t="s">
        <v>85</v>
      </c>
      <c r="H4" s="20" t="s">
        <v>4</v>
      </c>
      <c r="I4" s="20" t="s">
        <v>11</v>
      </c>
      <c r="J4" s="20" t="s">
        <v>5</v>
      </c>
      <c r="K4" s="20" t="s">
        <v>11</v>
      </c>
      <c r="L4" s="20" t="s">
        <v>6</v>
      </c>
      <c r="M4" s="20" t="s">
        <v>2</v>
      </c>
      <c r="N4" s="20" t="s">
        <v>2</v>
      </c>
      <c r="O4" s="11" t="s">
        <v>17</v>
      </c>
      <c r="P4" s="4">
        <v>5.666666666666667</v>
      </c>
    </row>
    <row r="5" spans="1:16" s="5" customFormat="1" ht="42" customHeight="1">
      <c r="A5" s="2">
        <v>3</v>
      </c>
      <c r="B5" s="21">
        <v>2558720106</v>
      </c>
      <c r="C5" s="12">
        <v>250371538004</v>
      </c>
      <c r="D5" s="13" t="s">
        <v>630</v>
      </c>
      <c r="E5" s="12" t="s">
        <v>18</v>
      </c>
      <c r="F5" s="19" t="s">
        <v>15</v>
      </c>
      <c r="G5" s="19" t="s">
        <v>85</v>
      </c>
      <c r="H5" s="20" t="s">
        <v>4</v>
      </c>
      <c r="I5" s="20" t="s">
        <v>3</v>
      </c>
      <c r="J5" s="20" t="s">
        <v>4</v>
      </c>
      <c r="K5" s="20" t="s">
        <v>6</v>
      </c>
      <c r="L5" s="20" t="s">
        <v>5</v>
      </c>
      <c r="M5" s="20" t="s">
        <v>2</v>
      </c>
      <c r="N5" s="20" t="s">
        <v>2</v>
      </c>
      <c r="O5" s="11" t="s">
        <v>17</v>
      </c>
      <c r="P5" s="4">
        <v>6.8888888888888893</v>
      </c>
    </row>
    <row r="6" spans="1:16" s="5" customFormat="1" ht="42" customHeight="1">
      <c r="A6" s="2">
        <v>4</v>
      </c>
      <c r="B6" s="21">
        <v>2558720196</v>
      </c>
      <c r="C6" s="12">
        <v>250371538007</v>
      </c>
      <c r="D6" s="13" t="s">
        <v>631</v>
      </c>
      <c r="E6" s="12" t="s">
        <v>18</v>
      </c>
      <c r="F6" s="19" t="s">
        <v>15</v>
      </c>
      <c r="G6" s="19" t="s">
        <v>85</v>
      </c>
      <c r="H6" s="20" t="s">
        <v>5</v>
      </c>
      <c r="I6" s="20" t="s">
        <v>11</v>
      </c>
      <c r="J6" s="20" t="s">
        <v>4</v>
      </c>
      <c r="K6" s="20" t="s">
        <v>11</v>
      </c>
      <c r="L6" s="20" t="s">
        <v>11</v>
      </c>
      <c r="M6" s="20" t="s">
        <v>2</v>
      </c>
      <c r="N6" s="20" t="s">
        <v>8</v>
      </c>
      <c r="O6" s="11" t="s">
        <v>17</v>
      </c>
      <c r="P6" s="4">
        <v>5.6111111111111107</v>
      </c>
    </row>
    <row r="7" spans="1:16" s="5" customFormat="1" ht="42" customHeight="1">
      <c r="A7" s="2">
        <v>5</v>
      </c>
      <c r="B7" s="21">
        <v>2558720261</v>
      </c>
      <c r="C7" s="12">
        <v>250371538008</v>
      </c>
      <c r="D7" s="13" t="s">
        <v>632</v>
      </c>
      <c r="E7" s="12" t="s">
        <v>18</v>
      </c>
      <c r="F7" s="19" t="s">
        <v>15</v>
      </c>
      <c r="G7" s="19" t="s">
        <v>85</v>
      </c>
      <c r="H7" s="20" t="s">
        <v>5</v>
      </c>
      <c r="I7" s="20" t="s">
        <v>11</v>
      </c>
      <c r="J7" s="20" t="s">
        <v>4</v>
      </c>
      <c r="K7" s="20" t="s">
        <v>6</v>
      </c>
      <c r="L7" s="20" t="s">
        <v>6</v>
      </c>
      <c r="M7" s="20" t="s">
        <v>2</v>
      </c>
      <c r="N7" s="20" t="s">
        <v>2</v>
      </c>
      <c r="O7" s="11" t="s">
        <v>17</v>
      </c>
      <c r="P7" s="4">
        <v>5.8888888888888893</v>
      </c>
    </row>
    <row r="8" spans="1:16" s="5" customFormat="1" ht="42" customHeight="1">
      <c r="A8" s="2">
        <v>6</v>
      </c>
      <c r="B8" s="21">
        <v>2558720026</v>
      </c>
      <c r="C8" s="12">
        <v>250371538009</v>
      </c>
      <c r="D8" s="13" t="s">
        <v>633</v>
      </c>
      <c r="E8" s="12" t="s">
        <v>18</v>
      </c>
      <c r="F8" s="19" t="s">
        <v>15</v>
      </c>
      <c r="G8" s="19" t="s">
        <v>85</v>
      </c>
      <c r="H8" s="20" t="s">
        <v>4</v>
      </c>
      <c r="I8" s="20" t="s">
        <v>6</v>
      </c>
      <c r="J8" s="20" t="s">
        <v>5</v>
      </c>
      <c r="K8" s="20" t="s">
        <v>6</v>
      </c>
      <c r="L8" s="20" t="s">
        <v>6</v>
      </c>
      <c r="M8" s="20" t="s">
        <v>2</v>
      </c>
      <c r="N8" s="20" t="s">
        <v>2</v>
      </c>
      <c r="O8" s="11" t="s">
        <v>17</v>
      </c>
      <c r="P8" s="4">
        <v>6</v>
      </c>
    </row>
    <row r="9" spans="1:16" s="5" customFormat="1" ht="42" hidden="1" customHeight="1">
      <c r="A9" s="2">
        <v>7</v>
      </c>
      <c r="B9" s="21">
        <v>2558720058</v>
      </c>
      <c r="C9" s="12">
        <v>250371538010</v>
      </c>
      <c r="D9" s="13" t="s">
        <v>634</v>
      </c>
      <c r="E9" s="12" t="s">
        <v>18</v>
      </c>
      <c r="F9" s="19" t="s">
        <v>15</v>
      </c>
      <c r="G9" s="19" t="s">
        <v>85</v>
      </c>
      <c r="H9" s="20" t="s">
        <v>7</v>
      </c>
      <c r="I9" s="20" t="s">
        <v>11</v>
      </c>
      <c r="J9" s="20" t="s">
        <v>6</v>
      </c>
      <c r="K9" s="20" t="s">
        <v>11</v>
      </c>
      <c r="L9" s="20" t="s">
        <v>11</v>
      </c>
      <c r="M9" s="20" t="s">
        <v>2</v>
      </c>
      <c r="N9" s="20" t="s">
        <v>2</v>
      </c>
      <c r="O9" s="11" t="s">
        <v>7</v>
      </c>
      <c r="P9" s="4">
        <v>0</v>
      </c>
    </row>
    <row r="10" spans="1:16" s="5" customFormat="1" ht="42" hidden="1" customHeight="1">
      <c r="A10" s="2">
        <v>8</v>
      </c>
      <c r="B10" s="21">
        <v>2558720083</v>
      </c>
      <c r="C10" s="12">
        <v>250371538011</v>
      </c>
      <c r="D10" s="13" t="s">
        <v>635</v>
      </c>
      <c r="E10" s="12" t="s">
        <v>18</v>
      </c>
      <c r="F10" s="19" t="s">
        <v>15</v>
      </c>
      <c r="G10" s="19" t="s">
        <v>85</v>
      </c>
      <c r="H10" s="20" t="s">
        <v>7</v>
      </c>
      <c r="I10" s="20" t="s">
        <v>7</v>
      </c>
      <c r="J10" s="20" t="s">
        <v>11</v>
      </c>
      <c r="K10" s="20" t="s">
        <v>1517</v>
      </c>
      <c r="L10" s="20" t="s">
        <v>11</v>
      </c>
      <c r="M10" s="20" t="s">
        <v>2</v>
      </c>
      <c r="N10" s="20" t="s">
        <v>2</v>
      </c>
      <c r="O10" s="11" t="s">
        <v>1517</v>
      </c>
      <c r="P10" s="4">
        <v>0</v>
      </c>
    </row>
    <row r="11" spans="1:16" s="5" customFormat="1" ht="42" customHeight="1">
      <c r="A11" s="2">
        <v>9</v>
      </c>
      <c r="B11" s="21">
        <v>2558720005</v>
      </c>
      <c r="C11" s="12">
        <v>250371538012</v>
      </c>
      <c r="D11" s="13" t="s">
        <v>636</v>
      </c>
      <c r="E11" s="12" t="s">
        <v>18</v>
      </c>
      <c r="F11" s="19" t="s">
        <v>15</v>
      </c>
      <c r="G11" s="19" t="s">
        <v>85</v>
      </c>
      <c r="H11" s="20" t="s">
        <v>4</v>
      </c>
      <c r="I11" s="20" t="s">
        <v>11</v>
      </c>
      <c r="J11" s="20" t="s">
        <v>11</v>
      </c>
      <c r="K11" s="20" t="s">
        <v>11</v>
      </c>
      <c r="L11" s="20" t="s">
        <v>11</v>
      </c>
      <c r="M11" s="20" t="s">
        <v>2</v>
      </c>
      <c r="N11" s="20" t="s">
        <v>2</v>
      </c>
      <c r="O11" s="11" t="s">
        <v>17</v>
      </c>
      <c r="P11" s="4">
        <v>5.0555555555555554</v>
      </c>
    </row>
    <row r="12" spans="1:16" s="5" customFormat="1" ht="42" customHeight="1">
      <c r="A12" s="2">
        <v>10</v>
      </c>
      <c r="B12" s="21">
        <v>2558720270</v>
      </c>
      <c r="C12" s="12">
        <v>250371538013</v>
      </c>
      <c r="D12" s="13" t="s">
        <v>637</v>
      </c>
      <c r="E12" s="12" t="s">
        <v>18</v>
      </c>
      <c r="F12" s="19" t="s">
        <v>15</v>
      </c>
      <c r="G12" s="19" t="s">
        <v>85</v>
      </c>
      <c r="H12" s="20" t="s">
        <v>4</v>
      </c>
      <c r="I12" s="20" t="s">
        <v>11</v>
      </c>
      <c r="J12" s="20" t="s">
        <v>4</v>
      </c>
      <c r="K12" s="20" t="s">
        <v>6</v>
      </c>
      <c r="L12" s="20" t="s">
        <v>6</v>
      </c>
      <c r="M12" s="20" t="s">
        <v>2</v>
      </c>
      <c r="N12" s="20" t="s">
        <v>2</v>
      </c>
      <c r="O12" s="11" t="s">
        <v>17</v>
      </c>
      <c r="P12" s="4">
        <v>6.0555555555555554</v>
      </c>
    </row>
    <row r="13" spans="1:16" s="5" customFormat="1" ht="42" customHeight="1">
      <c r="A13" s="2">
        <v>11</v>
      </c>
      <c r="B13" s="21">
        <v>2558720188</v>
      </c>
      <c r="C13" s="12">
        <v>250371538015</v>
      </c>
      <c r="D13" s="13" t="s">
        <v>638</v>
      </c>
      <c r="E13" s="12" t="s">
        <v>18</v>
      </c>
      <c r="F13" s="19" t="s">
        <v>15</v>
      </c>
      <c r="G13" s="19" t="s">
        <v>85</v>
      </c>
      <c r="H13" s="20" t="s">
        <v>11</v>
      </c>
      <c r="I13" s="20" t="s">
        <v>11</v>
      </c>
      <c r="J13" s="20" t="s">
        <v>11</v>
      </c>
      <c r="K13" s="20" t="s">
        <v>11</v>
      </c>
      <c r="L13" s="20" t="s">
        <v>11</v>
      </c>
      <c r="M13" s="20" t="s">
        <v>2</v>
      </c>
      <c r="N13" s="20" t="s">
        <v>2</v>
      </c>
      <c r="O13" s="11" t="s">
        <v>17</v>
      </c>
      <c r="P13" s="4">
        <v>4.5555555555555554</v>
      </c>
    </row>
    <row r="14" spans="1:16" s="5" customFormat="1" ht="42" customHeight="1">
      <c r="A14" s="2">
        <v>12</v>
      </c>
      <c r="B14" s="21">
        <v>2558720152</v>
      </c>
      <c r="C14" s="12">
        <v>250371538016</v>
      </c>
      <c r="D14" s="13" t="s">
        <v>639</v>
      </c>
      <c r="E14" s="12" t="s">
        <v>18</v>
      </c>
      <c r="F14" s="19" t="s">
        <v>15</v>
      </c>
      <c r="G14" s="19" t="s">
        <v>85</v>
      </c>
      <c r="H14" s="20" t="s">
        <v>5</v>
      </c>
      <c r="I14" s="20" t="s">
        <v>11</v>
      </c>
      <c r="J14" s="20" t="s">
        <v>5</v>
      </c>
      <c r="K14" s="20" t="s">
        <v>11</v>
      </c>
      <c r="L14" s="20" t="s">
        <v>11</v>
      </c>
      <c r="M14" s="20" t="s">
        <v>2</v>
      </c>
      <c r="N14" s="20" t="s">
        <v>2</v>
      </c>
      <c r="O14" s="11" t="s">
        <v>17</v>
      </c>
      <c r="P14" s="4">
        <v>5.333333333333333</v>
      </c>
    </row>
    <row r="15" spans="1:16" s="5" customFormat="1" ht="42" customHeight="1">
      <c r="A15" s="2">
        <v>13</v>
      </c>
      <c r="B15" s="21">
        <v>2558720236</v>
      </c>
      <c r="C15" s="12">
        <v>250371538017</v>
      </c>
      <c r="D15" s="13" t="s">
        <v>640</v>
      </c>
      <c r="E15" s="12" t="s">
        <v>18</v>
      </c>
      <c r="F15" s="19" t="s">
        <v>15</v>
      </c>
      <c r="G15" s="19" t="s">
        <v>85</v>
      </c>
      <c r="H15" s="20" t="s">
        <v>4</v>
      </c>
      <c r="I15" s="20" t="s">
        <v>11</v>
      </c>
      <c r="J15" s="20" t="s">
        <v>6</v>
      </c>
      <c r="K15" s="20" t="s">
        <v>6</v>
      </c>
      <c r="L15" s="20" t="s">
        <v>11</v>
      </c>
      <c r="M15" s="20" t="s">
        <v>2</v>
      </c>
      <c r="N15" s="20" t="s">
        <v>2</v>
      </c>
      <c r="O15" s="11" t="s">
        <v>17</v>
      </c>
      <c r="P15" s="4">
        <v>5.4444444444444446</v>
      </c>
    </row>
    <row r="16" spans="1:16" s="5" customFormat="1" ht="42" customHeight="1">
      <c r="A16" s="2">
        <v>14</v>
      </c>
      <c r="B16" s="21">
        <v>2558720268</v>
      </c>
      <c r="C16" s="12">
        <v>250371538019</v>
      </c>
      <c r="D16" s="13" t="s">
        <v>641</v>
      </c>
      <c r="E16" s="12" t="s">
        <v>18</v>
      </c>
      <c r="F16" s="19" t="s">
        <v>15</v>
      </c>
      <c r="G16" s="19" t="s">
        <v>85</v>
      </c>
      <c r="H16" s="20" t="s">
        <v>5</v>
      </c>
      <c r="I16" s="20" t="s">
        <v>3</v>
      </c>
      <c r="J16" s="20" t="s">
        <v>5</v>
      </c>
      <c r="K16" s="20" t="s">
        <v>11</v>
      </c>
      <c r="L16" s="20" t="s">
        <v>11</v>
      </c>
      <c r="M16" s="20" t="s">
        <v>2</v>
      </c>
      <c r="N16" s="20" t="s">
        <v>2</v>
      </c>
      <c r="O16" s="11" t="s">
        <v>17</v>
      </c>
      <c r="P16" s="4">
        <v>6</v>
      </c>
    </row>
    <row r="17" spans="1:16" s="5" customFormat="1" ht="42" customHeight="1">
      <c r="A17" s="2">
        <v>15</v>
      </c>
      <c r="B17" s="21">
        <v>2558720009</v>
      </c>
      <c r="C17" s="12">
        <v>250371538022</v>
      </c>
      <c r="D17" s="13" t="s">
        <v>642</v>
      </c>
      <c r="E17" s="12" t="s">
        <v>18</v>
      </c>
      <c r="F17" s="19" t="s">
        <v>15</v>
      </c>
      <c r="G17" s="19" t="s">
        <v>85</v>
      </c>
      <c r="H17" s="20" t="s">
        <v>4</v>
      </c>
      <c r="I17" s="20" t="s">
        <v>4</v>
      </c>
      <c r="J17" s="20" t="s">
        <v>6</v>
      </c>
      <c r="K17" s="20" t="s">
        <v>11</v>
      </c>
      <c r="L17" s="20" t="s">
        <v>6</v>
      </c>
      <c r="M17" s="20" t="s">
        <v>2</v>
      </c>
      <c r="N17" s="20" t="s">
        <v>2</v>
      </c>
      <c r="O17" s="11" t="s">
        <v>17</v>
      </c>
      <c r="P17" s="4">
        <v>5.9444444444444446</v>
      </c>
    </row>
    <row r="18" spans="1:16" s="5" customFormat="1" ht="42" customHeight="1">
      <c r="A18" s="2">
        <v>16</v>
      </c>
      <c r="B18" s="21">
        <v>2558720063</v>
      </c>
      <c r="C18" s="12">
        <v>250371538025</v>
      </c>
      <c r="D18" s="13" t="s">
        <v>643</v>
      </c>
      <c r="E18" s="12" t="s">
        <v>18</v>
      </c>
      <c r="F18" s="19" t="s">
        <v>15</v>
      </c>
      <c r="G18" s="19" t="s">
        <v>85</v>
      </c>
      <c r="H18" s="20" t="s">
        <v>4</v>
      </c>
      <c r="I18" s="20" t="s">
        <v>3</v>
      </c>
      <c r="J18" s="20" t="s">
        <v>4</v>
      </c>
      <c r="K18" s="20" t="s">
        <v>11</v>
      </c>
      <c r="L18" s="20" t="s">
        <v>11</v>
      </c>
      <c r="M18" s="20" t="s">
        <v>8</v>
      </c>
      <c r="N18" s="20" t="s">
        <v>8</v>
      </c>
      <c r="O18" s="11" t="s">
        <v>17</v>
      </c>
      <c r="P18" s="4">
        <v>6.5</v>
      </c>
    </row>
    <row r="19" spans="1:16" s="5" customFormat="1" ht="42" customHeight="1">
      <c r="A19" s="2">
        <v>17</v>
      </c>
      <c r="B19" s="21">
        <v>2558720001</v>
      </c>
      <c r="C19" s="12">
        <v>250371538027</v>
      </c>
      <c r="D19" s="13" t="s">
        <v>644</v>
      </c>
      <c r="E19" s="12" t="s">
        <v>18</v>
      </c>
      <c r="F19" s="19" t="s">
        <v>15</v>
      </c>
      <c r="G19" s="19" t="s">
        <v>85</v>
      </c>
      <c r="H19" s="20" t="s">
        <v>4</v>
      </c>
      <c r="I19" s="20" t="s">
        <v>5</v>
      </c>
      <c r="J19" s="20" t="s">
        <v>4</v>
      </c>
      <c r="K19" s="20" t="s">
        <v>5</v>
      </c>
      <c r="L19" s="20" t="s">
        <v>4</v>
      </c>
      <c r="M19" s="20" t="s">
        <v>8</v>
      </c>
      <c r="N19" s="20" t="s">
        <v>8</v>
      </c>
      <c r="O19" s="11" t="s">
        <v>17</v>
      </c>
      <c r="P19" s="4">
        <v>7</v>
      </c>
    </row>
    <row r="20" spans="1:16" s="5" customFormat="1" ht="42" hidden="1" customHeight="1">
      <c r="A20" s="2">
        <v>18</v>
      </c>
      <c r="B20" s="21">
        <v>2558720011</v>
      </c>
      <c r="C20" s="12">
        <v>250371538028</v>
      </c>
      <c r="D20" s="13" t="s">
        <v>645</v>
      </c>
      <c r="E20" s="12" t="s">
        <v>18</v>
      </c>
      <c r="F20" s="19" t="s">
        <v>15</v>
      </c>
      <c r="G20" s="19" t="s">
        <v>85</v>
      </c>
      <c r="H20" s="20" t="s">
        <v>11</v>
      </c>
      <c r="I20" s="20" t="s">
        <v>7</v>
      </c>
      <c r="J20" s="20" t="s">
        <v>11</v>
      </c>
      <c r="K20" s="20" t="s">
        <v>11</v>
      </c>
      <c r="L20" s="20" t="s">
        <v>7</v>
      </c>
      <c r="M20" s="20" t="s">
        <v>2</v>
      </c>
      <c r="N20" s="20" t="s">
        <v>2</v>
      </c>
      <c r="O20" s="11" t="s">
        <v>7</v>
      </c>
      <c r="P20" s="4">
        <v>0</v>
      </c>
    </row>
    <row r="21" spans="1:16" s="5" customFormat="1" ht="42" hidden="1" customHeight="1">
      <c r="A21" s="2">
        <v>19</v>
      </c>
      <c r="B21" s="21">
        <v>2558720158</v>
      </c>
      <c r="C21" s="12">
        <v>250371538029</v>
      </c>
      <c r="D21" s="13" t="s">
        <v>646</v>
      </c>
      <c r="E21" s="12" t="s">
        <v>18</v>
      </c>
      <c r="F21" s="19" t="s">
        <v>15</v>
      </c>
      <c r="G21" s="19" t="s">
        <v>85</v>
      </c>
      <c r="H21" s="20" t="s">
        <v>11</v>
      </c>
      <c r="I21" s="20" t="s">
        <v>7</v>
      </c>
      <c r="J21" s="20" t="s">
        <v>11</v>
      </c>
      <c r="K21" s="20" t="s">
        <v>11</v>
      </c>
      <c r="L21" s="20" t="s">
        <v>11</v>
      </c>
      <c r="M21" s="20" t="s">
        <v>2</v>
      </c>
      <c r="N21" s="20" t="s">
        <v>2</v>
      </c>
      <c r="O21" s="11" t="s">
        <v>7</v>
      </c>
      <c r="P21" s="4">
        <v>0</v>
      </c>
    </row>
  </sheetData>
  <autoFilter ref="A1:P21">
    <filterColumn colId="6"/>
    <filterColumn colId="11"/>
    <filterColumn colId="12"/>
    <filterColumn colId="13"/>
    <filterColumn colId="14">
      <filters>
        <filter val="PASS"/>
      </filters>
    </filterColumn>
  </autoFilter>
  <mergeCells count="8">
    <mergeCell ref="G1:G2"/>
    <mergeCell ref="P1:P2"/>
    <mergeCell ref="A1:A2"/>
    <mergeCell ref="B1:B2"/>
    <mergeCell ref="C1:C2"/>
    <mergeCell ref="D1:D2"/>
    <mergeCell ref="E1:E2"/>
    <mergeCell ref="F1:F2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sheetPr filterMode="1"/>
  <dimension ref="A1:O112"/>
  <sheetViews>
    <sheetView workbookViewId="0">
      <selection activeCell="L39" sqref="L39"/>
    </sheetView>
  </sheetViews>
  <sheetFormatPr defaultRowHeight="15"/>
  <cols>
    <col min="1" max="1" width="6.5703125" style="6" bestFit="1" customWidth="1"/>
    <col min="2" max="2" width="16.28515625" style="6" customWidth="1"/>
    <col min="3" max="3" width="18.28515625" style="6" bestFit="1" customWidth="1"/>
    <col min="4" max="4" width="35.7109375" style="6" customWidth="1"/>
    <col min="5" max="5" width="9.42578125" style="32" customWidth="1"/>
    <col min="6" max="6" width="14.7109375" style="32" customWidth="1"/>
    <col min="7" max="7" width="13" style="6" customWidth="1"/>
    <col min="8" max="8" width="11.140625" style="6" customWidth="1"/>
    <col min="9" max="9" width="18.5703125" style="6" customWidth="1"/>
    <col min="10" max="10" width="18.85546875" style="6" customWidth="1"/>
    <col min="11" max="14" width="17.85546875" style="6" customWidth="1"/>
    <col min="15" max="15" width="12" style="7" customWidth="1"/>
    <col min="16" max="16384" width="9.140625" style="6"/>
  </cols>
  <sheetData>
    <row r="1" spans="1:15" s="31" customFormat="1" ht="35.25" customHeight="1">
      <c r="A1" s="58" t="s">
        <v>1519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</row>
    <row r="2" spans="1:15" s="5" customFormat="1" ht="35.25" customHeight="1">
      <c r="A2" s="57" t="s">
        <v>1518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</row>
    <row r="3" spans="1:15" s="8" customFormat="1" ht="94.5" customHeight="1">
      <c r="A3" s="53" t="s">
        <v>1</v>
      </c>
      <c r="B3" s="53" t="s">
        <v>16</v>
      </c>
      <c r="C3" s="53" t="s">
        <v>12</v>
      </c>
      <c r="D3" s="53" t="s">
        <v>13</v>
      </c>
      <c r="E3" s="53" t="s">
        <v>14</v>
      </c>
      <c r="F3" s="53" t="s">
        <v>0</v>
      </c>
      <c r="G3" s="53" t="s">
        <v>31</v>
      </c>
      <c r="H3" s="1" t="s">
        <v>78</v>
      </c>
      <c r="I3" s="1" t="s">
        <v>79</v>
      </c>
      <c r="J3" s="1" t="s">
        <v>80</v>
      </c>
      <c r="K3" s="1" t="s">
        <v>391</v>
      </c>
      <c r="L3" s="1" t="s">
        <v>1360</v>
      </c>
      <c r="M3" s="1" t="s">
        <v>393</v>
      </c>
      <c r="N3" s="1" t="s">
        <v>10</v>
      </c>
      <c r="O3" s="55" t="s">
        <v>9</v>
      </c>
    </row>
    <row r="4" spans="1:15" s="8" customFormat="1" ht="34.5" hidden="1" customHeight="1">
      <c r="A4" s="54"/>
      <c r="B4" s="54"/>
      <c r="C4" s="54"/>
      <c r="D4" s="54"/>
      <c r="E4" s="54"/>
      <c r="F4" s="54"/>
      <c r="G4" s="54"/>
      <c r="H4" s="10">
        <v>3</v>
      </c>
      <c r="I4" s="10">
        <v>3</v>
      </c>
      <c r="J4" s="10">
        <v>4</v>
      </c>
      <c r="K4" s="10">
        <v>3</v>
      </c>
      <c r="L4" s="10">
        <v>4</v>
      </c>
      <c r="M4" s="10">
        <v>1</v>
      </c>
      <c r="N4" s="10">
        <f>SUM(H4:M4)</f>
        <v>18</v>
      </c>
      <c r="O4" s="56"/>
    </row>
    <row r="5" spans="1:15" s="5" customFormat="1" ht="50.1" customHeight="1">
      <c r="A5" s="2">
        <v>1</v>
      </c>
      <c r="B5" s="12">
        <v>2544640578</v>
      </c>
      <c r="C5" s="21">
        <v>250371553001</v>
      </c>
      <c r="D5" s="22" t="s">
        <v>1361</v>
      </c>
      <c r="E5" s="12" t="s">
        <v>30</v>
      </c>
      <c r="F5" s="20" t="s">
        <v>15</v>
      </c>
      <c r="G5" s="19" t="s">
        <v>34</v>
      </c>
      <c r="H5" s="20" t="s">
        <v>4</v>
      </c>
      <c r="I5" s="20" t="s">
        <v>8</v>
      </c>
      <c r="J5" s="20" t="s">
        <v>2</v>
      </c>
      <c r="K5" s="20" t="s">
        <v>8</v>
      </c>
      <c r="L5" s="20" t="s">
        <v>3</v>
      </c>
      <c r="M5" s="20" t="s">
        <v>3</v>
      </c>
      <c r="N5" s="11" t="s">
        <v>17</v>
      </c>
      <c r="O5" s="4">
        <v>8.7222222222222214</v>
      </c>
    </row>
    <row r="6" spans="1:15" s="5" customFormat="1" ht="50.1" customHeight="1">
      <c r="A6" s="2">
        <v>2</v>
      </c>
      <c r="B6" s="12">
        <v>2544640758</v>
      </c>
      <c r="C6" s="21">
        <v>250371553002</v>
      </c>
      <c r="D6" s="22" t="s">
        <v>1362</v>
      </c>
      <c r="E6" s="12" t="s">
        <v>30</v>
      </c>
      <c r="F6" s="20" t="s">
        <v>15</v>
      </c>
      <c r="G6" s="19" t="s">
        <v>34</v>
      </c>
      <c r="H6" s="20" t="s">
        <v>3</v>
      </c>
      <c r="I6" s="20" t="s">
        <v>8</v>
      </c>
      <c r="J6" s="20" t="s">
        <v>2</v>
      </c>
      <c r="K6" s="20" t="s">
        <v>8</v>
      </c>
      <c r="L6" s="20" t="s">
        <v>3</v>
      </c>
      <c r="M6" s="20" t="s">
        <v>2</v>
      </c>
      <c r="N6" s="11" t="s">
        <v>17</v>
      </c>
      <c r="O6" s="4">
        <v>8.9444444444444446</v>
      </c>
    </row>
    <row r="7" spans="1:15" s="5" customFormat="1" ht="50.1" customHeight="1">
      <c r="A7" s="2">
        <v>3</v>
      </c>
      <c r="B7" s="12">
        <v>2544640327</v>
      </c>
      <c r="C7" s="21">
        <v>250371553005</v>
      </c>
      <c r="D7" s="22" t="s">
        <v>1363</v>
      </c>
      <c r="E7" s="12" t="s">
        <v>30</v>
      </c>
      <c r="F7" s="20" t="s">
        <v>15</v>
      </c>
      <c r="G7" s="19" t="s">
        <v>34</v>
      </c>
      <c r="H7" s="20" t="s">
        <v>3</v>
      </c>
      <c r="I7" s="20" t="s">
        <v>8</v>
      </c>
      <c r="J7" s="20" t="s">
        <v>4</v>
      </c>
      <c r="K7" s="20" t="s">
        <v>3</v>
      </c>
      <c r="L7" s="20" t="s">
        <v>3</v>
      </c>
      <c r="M7" s="20" t="s">
        <v>8</v>
      </c>
      <c r="N7" s="11" t="s">
        <v>17</v>
      </c>
      <c r="O7" s="4">
        <v>8.2222222222222214</v>
      </c>
    </row>
    <row r="8" spans="1:15" s="5" customFormat="1" ht="50.1" customHeight="1">
      <c r="A8" s="2">
        <v>4</v>
      </c>
      <c r="B8" s="12">
        <v>2544640342</v>
      </c>
      <c r="C8" s="21">
        <v>250371553007</v>
      </c>
      <c r="D8" s="22" t="s">
        <v>1364</v>
      </c>
      <c r="E8" s="12" t="s">
        <v>30</v>
      </c>
      <c r="F8" s="20" t="s">
        <v>15</v>
      </c>
      <c r="G8" s="19" t="s">
        <v>34</v>
      </c>
      <c r="H8" s="20" t="s">
        <v>2</v>
      </c>
      <c r="I8" s="20" t="s">
        <v>8</v>
      </c>
      <c r="J8" s="20" t="s">
        <v>2</v>
      </c>
      <c r="K8" s="20" t="s">
        <v>8</v>
      </c>
      <c r="L8" s="20" t="s">
        <v>3</v>
      </c>
      <c r="M8" s="20" t="s">
        <v>2</v>
      </c>
      <c r="N8" s="11" t="s">
        <v>17</v>
      </c>
      <c r="O8" s="4">
        <v>9.1111111111111107</v>
      </c>
    </row>
    <row r="9" spans="1:15" s="5" customFormat="1" ht="50.1" customHeight="1">
      <c r="A9" s="2">
        <v>5</v>
      </c>
      <c r="B9" s="12">
        <v>2544640023</v>
      </c>
      <c r="C9" s="21">
        <v>250371553009</v>
      </c>
      <c r="D9" s="22" t="s">
        <v>1365</v>
      </c>
      <c r="E9" s="12" t="s">
        <v>30</v>
      </c>
      <c r="F9" s="20" t="s">
        <v>15</v>
      </c>
      <c r="G9" s="19" t="s">
        <v>34</v>
      </c>
      <c r="H9" s="20" t="s">
        <v>3</v>
      </c>
      <c r="I9" s="20" t="s">
        <v>8</v>
      </c>
      <c r="J9" s="20" t="s">
        <v>2</v>
      </c>
      <c r="K9" s="20" t="s">
        <v>2</v>
      </c>
      <c r="L9" s="20" t="s">
        <v>3</v>
      </c>
      <c r="M9" s="20" t="s">
        <v>2</v>
      </c>
      <c r="N9" s="11" t="s">
        <v>17</v>
      </c>
      <c r="O9" s="4">
        <v>8.7777777777777786</v>
      </c>
    </row>
    <row r="10" spans="1:15" s="5" customFormat="1" ht="50.1" customHeight="1">
      <c r="A10" s="2">
        <v>6</v>
      </c>
      <c r="B10" s="12">
        <v>2544640345</v>
      </c>
      <c r="C10" s="21">
        <v>250371553010</v>
      </c>
      <c r="D10" s="22" t="s">
        <v>1366</v>
      </c>
      <c r="E10" s="12" t="s">
        <v>30</v>
      </c>
      <c r="F10" s="20" t="s">
        <v>15</v>
      </c>
      <c r="G10" s="19" t="s">
        <v>34</v>
      </c>
      <c r="H10" s="20" t="s">
        <v>2</v>
      </c>
      <c r="I10" s="20" t="s">
        <v>8</v>
      </c>
      <c r="J10" s="20" t="s">
        <v>8</v>
      </c>
      <c r="K10" s="20" t="s">
        <v>2</v>
      </c>
      <c r="L10" s="20" t="s">
        <v>2</v>
      </c>
      <c r="M10" s="20" t="s">
        <v>8</v>
      </c>
      <c r="N10" s="11" t="s">
        <v>17</v>
      </c>
      <c r="O10" s="4">
        <v>9.4444444444444446</v>
      </c>
    </row>
    <row r="11" spans="1:15" s="5" customFormat="1" ht="50.1" customHeight="1">
      <c r="A11" s="2">
        <v>7</v>
      </c>
      <c r="B11" s="12">
        <v>2544641121</v>
      </c>
      <c r="C11" s="21">
        <v>250371553011</v>
      </c>
      <c r="D11" s="22" t="s">
        <v>1367</v>
      </c>
      <c r="E11" s="12" t="s">
        <v>30</v>
      </c>
      <c r="F11" s="20" t="s">
        <v>15</v>
      </c>
      <c r="G11" s="19" t="s">
        <v>34</v>
      </c>
      <c r="H11" s="20" t="s">
        <v>2</v>
      </c>
      <c r="I11" s="20" t="s">
        <v>3</v>
      </c>
      <c r="J11" s="20" t="s">
        <v>11</v>
      </c>
      <c r="K11" s="20" t="s">
        <v>4</v>
      </c>
      <c r="L11" s="20" t="s">
        <v>3</v>
      </c>
      <c r="M11" s="20" t="s">
        <v>3</v>
      </c>
      <c r="N11" s="11" t="s">
        <v>17</v>
      </c>
      <c r="O11" s="4">
        <v>7.1111111111111107</v>
      </c>
    </row>
    <row r="12" spans="1:15" s="5" customFormat="1" ht="50.1" customHeight="1">
      <c r="A12" s="2">
        <v>8</v>
      </c>
      <c r="B12" s="12">
        <v>2544640193</v>
      </c>
      <c r="C12" s="21">
        <v>250371553012</v>
      </c>
      <c r="D12" s="22" t="s">
        <v>1368</v>
      </c>
      <c r="E12" s="12" t="s">
        <v>30</v>
      </c>
      <c r="F12" s="20" t="s">
        <v>15</v>
      </c>
      <c r="G12" s="19" t="s">
        <v>34</v>
      </c>
      <c r="H12" s="20" t="s">
        <v>3</v>
      </c>
      <c r="I12" s="20" t="s">
        <v>8</v>
      </c>
      <c r="J12" s="20" t="s">
        <v>3</v>
      </c>
      <c r="K12" s="20" t="s">
        <v>2</v>
      </c>
      <c r="L12" s="20" t="s">
        <v>8</v>
      </c>
      <c r="M12" s="20" t="s">
        <v>2</v>
      </c>
      <c r="N12" s="11" t="s">
        <v>17</v>
      </c>
      <c r="O12" s="4">
        <v>9</v>
      </c>
    </row>
    <row r="13" spans="1:15" s="5" customFormat="1" ht="50.1" customHeight="1">
      <c r="A13" s="2">
        <v>9</v>
      </c>
      <c r="B13" s="12">
        <v>2544640232</v>
      </c>
      <c r="C13" s="21">
        <v>250371553013</v>
      </c>
      <c r="D13" s="22" t="s">
        <v>1369</v>
      </c>
      <c r="E13" s="12" t="s">
        <v>30</v>
      </c>
      <c r="F13" s="20" t="s">
        <v>15</v>
      </c>
      <c r="G13" s="19" t="s">
        <v>34</v>
      </c>
      <c r="H13" s="20" t="s">
        <v>3</v>
      </c>
      <c r="I13" s="20" t="s">
        <v>8</v>
      </c>
      <c r="J13" s="20" t="s">
        <v>2</v>
      </c>
      <c r="K13" s="20" t="s">
        <v>3</v>
      </c>
      <c r="L13" s="20" t="s">
        <v>2</v>
      </c>
      <c r="M13" s="20" t="s">
        <v>2</v>
      </c>
      <c r="N13" s="11" t="s">
        <v>17</v>
      </c>
      <c r="O13" s="4">
        <v>8.8333333333333339</v>
      </c>
    </row>
    <row r="14" spans="1:15" s="5" customFormat="1" ht="50.1" customHeight="1">
      <c r="A14" s="2">
        <v>10</v>
      </c>
      <c r="B14" s="12">
        <v>2544640654</v>
      </c>
      <c r="C14" s="21">
        <v>250371553014</v>
      </c>
      <c r="D14" s="22" t="s">
        <v>1370</v>
      </c>
      <c r="E14" s="12" t="s">
        <v>30</v>
      </c>
      <c r="F14" s="20" t="s">
        <v>15</v>
      </c>
      <c r="G14" s="19" t="s">
        <v>34</v>
      </c>
      <c r="H14" s="20" t="s">
        <v>5</v>
      </c>
      <c r="I14" s="20" t="s">
        <v>8</v>
      </c>
      <c r="J14" s="20" t="s">
        <v>2</v>
      </c>
      <c r="K14" s="20" t="s">
        <v>2</v>
      </c>
      <c r="L14" s="20" t="s">
        <v>3</v>
      </c>
      <c r="M14" s="20" t="s">
        <v>3</v>
      </c>
      <c r="N14" s="11" t="s">
        <v>17</v>
      </c>
      <c r="O14" s="4">
        <v>8.3888888888888893</v>
      </c>
    </row>
    <row r="15" spans="1:15" s="5" customFormat="1" ht="50.1" customHeight="1">
      <c r="A15" s="2">
        <v>11</v>
      </c>
      <c r="B15" s="12">
        <v>2544640569</v>
      </c>
      <c r="C15" s="21">
        <v>250371553015</v>
      </c>
      <c r="D15" s="22" t="s">
        <v>1371</v>
      </c>
      <c r="E15" s="12" t="s">
        <v>30</v>
      </c>
      <c r="F15" s="20" t="s">
        <v>15</v>
      </c>
      <c r="G15" s="19" t="s">
        <v>34</v>
      </c>
      <c r="H15" s="20" t="s">
        <v>3</v>
      </c>
      <c r="I15" s="20" t="s">
        <v>8</v>
      </c>
      <c r="J15" s="20" t="s">
        <v>3</v>
      </c>
      <c r="K15" s="20" t="s">
        <v>2</v>
      </c>
      <c r="L15" s="20" t="s">
        <v>8</v>
      </c>
      <c r="M15" s="20" t="s">
        <v>2</v>
      </c>
      <c r="N15" s="11" t="s">
        <v>17</v>
      </c>
      <c r="O15" s="4">
        <v>9</v>
      </c>
    </row>
    <row r="16" spans="1:15" s="5" customFormat="1" ht="50.1" customHeight="1">
      <c r="A16" s="2">
        <v>12</v>
      </c>
      <c r="B16" s="12">
        <v>2544640883</v>
      </c>
      <c r="C16" s="21">
        <v>250371553017</v>
      </c>
      <c r="D16" s="22" t="s">
        <v>1372</v>
      </c>
      <c r="E16" s="12" t="s">
        <v>30</v>
      </c>
      <c r="F16" s="20" t="s">
        <v>15</v>
      </c>
      <c r="G16" s="19" t="s">
        <v>34</v>
      </c>
      <c r="H16" s="20" t="s">
        <v>3</v>
      </c>
      <c r="I16" s="20" t="s">
        <v>8</v>
      </c>
      <c r="J16" s="20" t="s">
        <v>2</v>
      </c>
      <c r="K16" s="20" t="s">
        <v>2</v>
      </c>
      <c r="L16" s="20" t="s">
        <v>3</v>
      </c>
      <c r="M16" s="20" t="s">
        <v>8</v>
      </c>
      <c r="N16" s="11" t="s">
        <v>17</v>
      </c>
      <c r="O16" s="4">
        <v>8.8333333333333339</v>
      </c>
    </row>
    <row r="17" spans="1:15" s="5" customFormat="1" ht="50.1" customHeight="1">
      <c r="A17" s="2">
        <v>13</v>
      </c>
      <c r="B17" s="12">
        <v>2544641034</v>
      </c>
      <c r="C17" s="21">
        <v>250371553019</v>
      </c>
      <c r="D17" s="22" t="s">
        <v>1373</v>
      </c>
      <c r="E17" s="12" t="s">
        <v>30</v>
      </c>
      <c r="F17" s="20" t="s">
        <v>15</v>
      </c>
      <c r="G17" s="19" t="s">
        <v>34</v>
      </c>
      <c r="H17" s="20" t="s">
        <v>2</v>
      </c>
      <c r="I17" s="20" t="s">
        <v>8</v>
      </c>
      <c r="J17" s="20" t="s">
        <v>2</v>
      </c>
      <c r="K17" s="20" t="s">
        <v>2</v>
      </c>
      <c r="L17" s="20" t="s">
        <v>8</v>
      </c>
      <c r="M17" s="20" t="s">
        <v>8</v>
      </c>
      <c r="N17" s="11" t="s">
        <v>17</v>
      </c>
      <c r="O17" s="4">
        <v>9.4444444444444446</v>
      </c>
    </row>
    <row r="18" spans="1:15" s="5" customFormat="1" ht="50.1" customHeight="1">
      <c r="A18" s="2">
        <v>14</v>
      </c>
      <c r="B18" s="12">
        <v>2544640265</v>
      </c>
      <c r="C18" s="21">
        <v>250371553020</v>
      </c>
      <c r="D18" s="22" t="s">
        <v>1374</v>
      </c>
      <c r="E18" s="12" t="s">
        <v>30</v>
      </c>
      <c r="F18" s="20" t="s">
        <v>15</v>
      </c>
      <c r="G18" s="19" t="s">
        <v>34</v>
      </c>
      <c r="H18" s="20" t="s">
        <v>3</v>
      </c>
      <c r="I18" s="20" t="s">
        <v>8</v>
      </c>
      <c r="J18" s="20" t="s">
        <v>2</v>
      </c>
      <c r="K18" s="20" t="s">
        <v>2</v>
      </c>
      <c r="L18" s="20" t="s">
        <v>8</v>
      </c>
      <c r="M18" s="20" t="s">
        <v>8</v>
      </c>
      <c r="N18" s="11" t="s">
        <v>17</v>
      </c>
      <c r="O18" s="4">
        <v>9.2777777777777786</v>
      </c>
    </row>
    <row r="19" spans="1:15" s="5" customFormat="1" ht="50.1" hidden="1" customHeight="1">
      <c r="A19" s="2">
        <v>15</v>
      </c>
      <c r="B19" s="12">
        <v>2544640437</v>
      </c>
      <c r="C19" s="21">
        <v>250371553021</v>
      </c>
      <c r="D19" s="22" t="s">
        <v>1375</v>
      </c>
      <c r="E19" s="12" t="s">
        <v>30</v>
      </c>
      <c r="F19" s="20" t="s">
        <v>15</v>
      </c>
      <c r="G19" s="19" t="s">
        <v>34</v>
      </c>
      <c r="H19" s="20" t="s">
        <v>3</v>
      </c>
      <c r="I19" s="20" t="s">
        <v>4</v>
      </c>
      <c r="J19" s="20" t="s">
        <v>2</v>
      </c>
      <c r="K19" s="20" t="s">
        <v>3</v>
      </c>
      <c r="L19" s="20" t="s">
        <v>7</v>
      </c>
      <c r="M19" s="20" t="s">
        <v>2</v>
      </c>
      <c r="N19" s="11" t="s">
        <v>7</v>
      </c>
      <c r="O19" s="4">
        <v>0</v>
      </c>
    </row>
    <row r="20" spans="1:15" s="5" customFormat="1" ht="50.1" customHeight="1">
      <c r="A20" s="2">
        <v>16</v>
      </c>
      <c r="B20" s="12">
        <v>2544640663</v>
      </c>
      <c r="C20" s="21">
        <v>250371553026</v>
      </c>
      <c r="D20" s="22" t="s">
        <v>1376</v>
      </c>
      <c r="E20" s="12" t="s">
        <v>30</v>
      </c>
      <c r="F20" s="20" t="s">
        <v>15</v>
      </c>
      <c r="G20" s="19" t="s">
        <v>34</v>
      </c>
      <c r="H20" s="20" t="s">
        <v>5</v>
      </c>
      <c r="I20" s="20" t="s">
        <v>8</v>
      </c>
      <c r="J20" s="20" t="s">
        <v>3</v>
      </c>
      <c r="K20" s="20" t="s">
        <v>3</v>
      </c>
      <c r="L20" s="20" t="s">
        <v>8</v>
      </c>
      <c r="M20" s="20" t="s">
        <v>2</v>
      </c>
      <c r="N20" s="11" t="s">
        <v>17</v>
      </c>
      <c r="O20" s="4">
        <v>8.5</v>
      </c>
    </row>
    <row r="21" spans="1:15" s="5" customFormat="1" ht="50.1" customHeight="1">
      <c r="A21" s="2">
        <v>17</v>
      </c>
      <c r="B21" s="12">
        <v>2544640287</v>
      </c>
      <c r="C21" s="21">
        <v>250371553027</v>
      </c>
      <c r="D21" s="22" t="s">
        <v>1377</v>
      </c>
      <c r="E21" s="12" t="s">
        <v>30</v>
      </c>
      <c r="F21" s="20" t="s">
        <v>15</v>
      </c>
      <c r="G21" s="19" t="s">
        <v>34</v>
      </c>
      <c r="H21" s="20" t="s">
        <v>3</v>
      </c>
      <c r="I21" s="20" t="s">
        <v>8</v>
      </c>
      <c r="J21" s="20" t="s">
        <v>2</v>
      </c>
      <c r="K21" s="20" t="s">
        <v>2</v>
      </c>
      <c r="L21" s="20" t="s">
        <v>2</v>
      </c>
      <c r="M21" s="20" t="s">
        <v>8</v>
      </c>
      <c r="N21" s="11" t="s">
        <v>17</v>
      </c>
      <c r="O21" s="4">
        <v>9.0555555555555554</v>
      </c>
    </row>
    <row r="22" spans="1:15" s="5" customFormat="1" ht="50.1" customHeight="1">
      <c r="A22" s="2">
        <v>18</v>
      </c>
      <c r="B22" s="12">
        <v>2544640596</v>
      </c>
      <c r="C22" s="21">
        <v>250371553028</v>
      </c>
      <c r="D22" s="22" t="s">
        <v>1378</v>
      </c>
      <c r="E22" s="12" t="s">
        <v>30</v>
      </c>
      <c r="F22" s="20" t="s">
        <v>15</v>
      </c>
      <c r="G22" s="19" t="s">
        <v>34</v>
      </c>
      <c r="H22" s="20" t="s">
        <v>4</v>
      </c>
      <c r="I22" s="20" t="s">
        <v>8</v>
      </c>
      <c r="J22" s="20" t="s">
        <v>3</v>
      </c>
      <c r="K22" s="20" t="s">
        <v>3</v>
      </c>
      <c r="L22" s="20" t="s">
        <v>8</v>
      </c>
      <c r="M22" s="20" t="s">
        <v>5</v>
      </c>
      <c r="N22" s="11" t="s">
        <v>17</v>
      </c>
      <c r="O22" s="4">
        <v>8.5</v>
      </c>
    </row>
    <row r="23" spans="1:15" s="5" customFormat="1" ht="50.1" customHeight="1">
      <c r="A23" s="2">
        <v>19</v>
      </c>
      <c r="B23" s="12">
        <v>2544640638</v>
      </c>
      <c r="C23" s="21">
        <v>250371553030</v>
      </c>
      <c r="D23" s="22" t="s">
        <v>1379</v>
      </c>
      <c r="E23" s="12" t="s">
        <v>30</v>
      </c>
      <c r="F23" s="20" t="s">
        <v>15</v>
      </c>
      <c r="G23" s="19" t="s">
        <v>34</v>
      </c>
      <c r="H23" s="20" t="s">
        <v>4</v>
      </c>
      <c r="I23" s="20" t="s">
        <v>8</v>
      </c>
      <c r="J23" s="20" t="s">
        <v>8</v>
      </c>
      <c r="K23" s="20" t="s">
        <v>2</v>
      </c>
      <c r="L23" s="20" t="s">
        <v>8</v>
      </c>
      <c r="M23" s="20" t="s">
        <v>2</v>
      </c>
      <c r="N23" s="11" t="s">
        <v>17</v>
      </c>
      <c r="O23" s="4">
        <v>9.2777777777777786</v>
      </c>
    </row>
    <row r="24" spans="1:15" s="5" customFormat="1" ht="50.1" customHeight="1">
      <c r="A24" s="2">
        <v>20</v>
      </c>
      <c r="B24" s="12">
        <v>2544640948</v>
      </c>
      <c r="C24" s="21">
        <v>250371553031</v>
      </c>
      <c r="D24" s="22" t="s">
        <v>1380</v>
      </c>
      <c r="E24" s="12" t="s">
        <v>30</v>
      </c>
      <c r="F24" s="20" t="s">
        <v>15</v>
      </c>
      <c r="G24" s="19" t="s">
        <v>34</v>
      </c>
      <c r="H24" s="20" t="s">
        <v>3</v>
      </c>
      <c r="I24" s="20" t="s">
        <v>2</v>
      </c>
      <c r="J24" s="20" t="s">
        <v>4</v>
      </c>
      <c r="K24" s="20" t="s">
        <v>3</v>
      </c>
      <c r="L24" s="20" t="s">
        <v>2</v>
      </c>
      <c r="M24" s="20" t="s">
        <v>8</v>
      </c>
      <c r="N24" s="11" t="s">
        <v>17</v>
      </c>
      <c r="O24" s="4">
        <v>8.2777777777777786</v>
      </c>
    </row>
    <row r="25" spans="1:15" s="5" customFormat="1" ht="50.1" customHeight="1">
      <c r="A25" s="2">
        <v>21</v>
      </c>
      <c r="B25" s="12">
        <v>2544640592</v>
      </c>
      <c r="C25" s="21">
        <v>250371553032</v>
      </c>
      <c r="D25" s="22" t="s">
        <v>1381</v>
      </c>
      <c r="E25" s="12" t="s">
        <v>30</v>
      </c>
      <c r="F25" s="20" t="s">
        <v>15</v>
      </c>
      <c r="G25" s="19" t="s">
        <v>34</v>
      </c>
      <c r="H25" s="20" t="s">
        <v>2</v>
      </c>
      <c r="I25" s="20" t="s">
        <v>4</v>
      </c>
      <c r="J25" s="20" t="s">
        <v>2</v>
      </c>
      <c r="K25" s="20" t="s">
        <v>4</v>
      </c>
      <c r="L25" s="20" t="s">
        <v>5</v>
      </c>
      <c r="M25" s="20" t="s">
        <v>5</v>
      </c>
      <c r="N25" s="11" t="s">
        <v>17</v>
      </c>
      <c r="O25" s="4">
        <v>7.5</v>
      </c>
    </row>
    <row r="26" spans="1:15" s="5" customFormat="1" ht="50.1" customHeight="1">
      <c r="A26" s="2">
        <v>22</v>
      </c>
      <c r="B26" s="12">
        <v>2544640144</v>
      </c>
      <c r="C26" s="21">
        <v>250371553034</v>
      </c>
      <c r="D26" s="22" t="s">
        <v>1382</v>
      </c>
      <c r="E26" s="12" t="s">
        <v>30</v>
      </c>
      <c r="F26" s="20" t="s">
        <v>15</v>
      </c>
      <c r="G26" s="19" t="s">
        <v>34</v>
      </c>
      <c r="H26" s="20" t="s">
        <v>3</v>
      </c>
      <c r="I26" s="20" t="s">
        <v>8</v>
      </c>
      <c r="J26" s="20" t="s">
        <v>2</v>
      </c>
      <c r="K26" s="20" t="s">
        <v>8</v>
      </c>
      <c r="L26" s="20" t="s">
        <v>3</v>
      </c>
      <c r="M26" s="20" t="s">
        <v>3</v>
      </c>
      <c r="N26" s="11" t="s">
        <v>17</v>
      </c>
      <c r="O26" s="4">
        <v>8.8888888888888893</v>
      </c>
    </row>
    <row r="27" spans="1:15" s="5" customFormat="1" ht="50.1" customHeight="1">
      <c r="A27" s="2">
        <v>23</v>
      </c>
      <c r="B27" s="12">
        <v>2544640788</v>
      </c>
      <c r="C27" s="21">
        <v>250371553038</v>
      </c>
      <c r="D27" s="22" t="s">
        <v>1383</v>
      </c>
      <c r="E27" s="12" t="s">
        <v>30</v>
      </c>
      <c r="F27" s="20" t="s">
        <v>15</v>
      </c>
      <c r="G27" s="19" t="s">
        <v>34</v>
      </c>
      <c r="H27" s="20" t="s">
        <v>4</v>
      </c>
      <c r="I27" s="20" t="s">
        <v>8</v>
      </c>
      <c r="J27" s="20" t="s">
        <v>4</v>
      </c>
      <c r="K27" s="20" t="s">
        <v>4</v>
      </c>
      <c r="L27" s="20" t="s">
        <v>3</v>
      </c>
      <c r="M27" s="20" t="s">
        <v>3</v>
      </c>
      <c r="N27" s="11" t="s">
        <v>17</v>
      </c>
      <c r="O27" s="4">
        <v>7.7777777777777777</v>
      </c>
    </row>
    <row r="28" spans="1:15" s="5" customFormat="1" ht="50.1" customHeight="1">
      <c r="A28" s="2">
        <v>24</v>
      </c>
      <c r="B28" s="12">
        <v>2544640482</v>
      </c>
      <c r="C28" s="21">
        <v>250371553039</v>
      </c>
      <c r="D28" s="22" t="s">
        <v>1384</v>
      </c>
      <c r="E28" s="12" t="s">
        <v>30</v>
      </c>
      <c r="F28" s="20" t="s">
        <v>15</v>
      </c>
      <c r="G28" s="19" t="s">
        <v>34</v>
      </c>
      <c r="H28" s="20" t="s">
        <v>3</v>
      </c>
      <c r="I28" s="20" t="s">
        <v>8</v>
      </c>
      <c r="J28" s="20" t="s">
        <v>2</v>
      </c>
      <c r="K28" s="20" t="s">
        <v>2</v>
      </c>
      <c r="L28" s="20" t="s">
        <v>3</v>
      </c>
      <c r="M28" s="20" t="s">
        <v>3</v>
      </c>
      <c r="N28" s="11" t="s">
        <v>17</v>
      </c>
      <c r="O28" s="4">
        <v>8.7222222222222214</v>
      </c>
    </row>
    <row r="29" spans="1:15" s="5" customFormat="1" ht="50.1" customHeight="1">
      <c r="A29" s="2">
        <v>25</v>
      </c>
      <c r="B29" s="12">
        <v>2544640288</v>
      </c>
      <c r="C29" s="21">
        <v>250371553040</v>
      </c>
      <c r="D29" s="22" t="s">
        <v>1385</v>
      </c>
      <c r="E29" s="12" t="s">
        <v>30</v>
      </c>
      <c r="F29" s="20" t="s">
        <v>15</v>
      </c>
      <c r="G29" s="19" t="s">
        <v>34</v>
      </c>
      <c r="H29" s="20" t="s">
        <v>2</v>
      </c>
      <c r="I29" s="20" t="s">
        <v>2</v>
      </c>
      <c r="J29" s="20" t="s">
        <v>8</v>
      </c>
      <c r="K29" s="20" t="s">
        <v>3</v>
      </c>
      <c r="L29" s="20" t="s">
        <v>3</v>
      </c>
      <c r="M29" s="20" t="s">
        <v>3</v>
      </c>
      <c r="N29" s="11" t="s">
        <v>17</v>
      </c>
      <c r="O29" s="4">
        <v>8.7777777777777786</v>
      </c>
    </row>
    <row r="30" spans="1:15" s="5" customFormat="1" ht="50.1" customHeight="1">
      <c r="A30" s="2">
        <v>26</v>
      </c>
      <c r="B30" s="12">
        <v>2544640171</v>
      </c>
      <c r="C30" s="21">
        <v>250371553041</v>
      </c>
      <c r="D30" s="22" t="s">
        <v>1386</v>
      </c>
      <c r="E30" s="12" t="s">
        <v>30</v>
      </c>
      <c r="F30" s="20" t="s">
        <v>15</v>
      </c>
      <c r="G30" s="19" t="s">
        <v>34</v>
      </c>
      <c r="H30" s="20" t="s">
        <v>2</v>
      </c>
      <c r="I30" s="20" t="s">
        <v>8</v>
      </c>
      <c r="J30" s="20" t="s">
        <v>2</v>
      </c>
      <c r="K30" s="20" t="s">
        <v>3</v>
      </c>
      <c r="L30" s="20" t="s">
        <v>8</v>
      </c>
      <c r="M30" s="20" t="s">
        <v>3</v>
      </c>
      <c r="N30" s="11" t="s">
        <v>17</v>
      </c>
      <c r="O30" s="4">
        <v>9.1666666666666661</v>
      </c>
    </row>
    <row r="31" spans="1:15" s="5" customFormat="1" ht="50.1" customHeight="1">
      <c r="A31" s="2">
        <v>27</v>
      </c>
      <c r="B31" s="12">
        <v>2544640836</v>
      </c>
      <c r="C31" s="21">
        <v>250371553042</v>
      </c>
      <c r="D31" s="22" t="s">
        <v>1387</v>
      </c>
      <c r="E31" s="12" t="s">
        <v>30</v>
      </c>
      <c r="F31" s="20" t="s">
        <v>15</v>
      </c>
      <c r="G31" s="19" t="s">
        <v>34</v>
      </c>
      <c r="H31" s="20" t="s">
        <v>4</v>
      </c>
      <c r="I31" s="20" t="s">
        <v>8</v>
      </c>
      <c r="J31" s="20" t="s">
        <v>3</v>
      </c>
      <c r="K31" s="20" t="s">
        <v>3</v>
      </c>
      <c r="L31" s="20" t="s">
        <v>2</v>
      </c>
      <c r="M31" s="20" t="s">
        <v>8</v>
      </c>
      <c r="N31" s="11" t="s">
        <v>17</v>
      </c>
      <c r="O31" s="4">
        <v>8.5</v>
      </c>
    </row>
    <row r="32" spans="1:15" s="5" customFormat="1" ht="50.1" customHeight="1">
      <c r="A32" s="2">
        <v>28</v>
      </c>
      <c r="B32" s="12">
        <v>2544640691</v>
      </c>
      <c r="C32" s="21">
        <v>250371553043</v>
      </c>
      <c r="D32" s="22" t="s">
        <v>1388</v>
      </c>
      <c r="E32" s="12" t="s">
        <v>30</v>
      </c>
      <c r="F32" s="20" t="s">
        <v>15</v>
      </c>
      <c r="G32" s="19" t="s">
        <v>34</v>
      </c>
      <c r="H32" s="20" t="s">
        <v>3</v>
      </c>
      <c r="I32" s="20" t="s">
        <v>8</v>
      </c>
      <c r="J32" s="20" t="s">
        <v>2</v>
      </c>
      <c r="K32" s="20" t="s">
        <v>2</v>
      </c>
      <c r="L32" s="20" t="s">
        <v>8</v>
      </c>
      <c r="M32" s="20" t="s">
        <v>8</v>
      </c>
      <c r="N32" s="11" t="s">
        <v>17</v>
      </c>
      <c r="O32" s="4">
        <v>9.2777777777777786</v>
      </c>
    </row>
    <row r="33" spans="1:15" s="5" customFormat="1" ht="50.1" customHeight="1">
      <c r="A33" s="2">
        <v>29</v>
      </c>
      <c r="B33" s="12">
        <v>2544640564</v>
      </c>
      <c r="C33" s="21">
        <v>250371553044</v>
      </c>
      <c r="D33" s="22" t="s">
        <v>1389</v>
      </c>
      <c r="E33" s="12" t="s">
        <v>30</v>
      </c>
      <c r="F33" s="20" t="s">
        <v>15</v>
      </c>
      <c r="G33" s="19" t="s">
        <v>34</v>
      </c>
      <c r="H33" s="20" t="s">
        <v>3</v>
      </c>
      <c r="I33" s="20" t="s">
        <v>2</v>
      </c>
      <c r="J33" s="20" t="s">
        <v>3</v>
      </c>
      <c r="K33" s="20" t="s">
        <v>4</v>
      </c>
      <c r="L33" s="20" t="s">
        <v>3</v>
      </c>
      <c r="M33" s="20" t="s">
        <v>2</v>
      </c>
      <c r="N33" s="11" t="s">
        <v>17</v>
      </c>
      <c r="O33" s="4">
        <v>8.0555555555555554</v>
      </c>
    </row>
    <row r="34" spans="1:15" s="5" customFormat="1" ht="50.1" customHeight="1">
      <c r="A34" s="2">
        <v>30</v>
      </c>
      <c r="B34" s="12">
        <v>2544640152</v>
      </c>
      <c r="C34" s="21">
        <v>250371553045</v>
      </c>
      <c r="D34" s="22" t="s">
        <v>1390</v>
      </c>
      <c r="E34" s="12" t="s">
        <v>30</v>
      </c>
      <c r="F34" s="20" t="s">
        <v>15</v>
      </c>
      <c r="G34" s="19" t="s">
        <v>34</v>
      </c>
      <c r="H34" s="20" t="s">
        <v>2</v>
      </c>
      <c r="I34" s="20" t="s">
        <v>8</v>
      </c>
      <c r="J34" s="20" t="s">
        <v>2</v>
      </c>
      <c r="K34" s="20" t="s">
        <v>2</v>
      </c>
      <c r="L34" s="20" t="s">
        <v>2</v>
      </c>
      <c r="M34" s="20" t="s">
        <v>2</v>
      </c>
      <c r="N34" s="11" t="s">
        <v>17</v>
      </c>
      <c r="O34" s="4">
        <v>9.1666666666666661</v>
      </c>
    </row>
    <row r="35" spans="1:15" s="5" customFormat="1" ht="50.1" customHeight="1">
      <c r="A35" s="2">
        <v>31</v>
      </c>
      <c r="B35" s="12">
        <v>2544640262</v>
      </c>
      <c r="C35" s="21">
        <v>250371553046</v>
      </c>
      <c r="D35" s="22" t="s">
        <v>1391</v>
      </c>
      <c r="E35" s="12" t="s">
        <v>30</v>
      </c>
      <c r="F35" s="20" t="s">
        <v>15</v>
      </c>
      <c r="G35" s="19" t="s">
        <v>34</v>
      </c>
      <c r="H35" s="20" t="s">
        <v>2</v>
      </c>
      <c r="I35" s="20" t="s">
        <v>8</v>
      </c>
      <c r="J35" s="20" t="s">
        <v>2</v>
      </c>
      <c r="K35" s="20" t="s">
        <v>2</v>
      </c>
      <c r="L35" s="20" t="s">
        <v>3</v>
      </c>
      <c r="M35" s="20" t="s">
        <v>2</v>
      </c>
      <c r="N35" s="11" t="s">
        <v>17</v>
      </c>
      <c r="O35" s="4">
        <v>8.9444444444444446</v>
      </c>
    </row>
    <row r="36" spans="1:15" s="5" customFormat="1" ht="50.1" customHeight="1">
      <c r="A36" s="2">
        <v>32</v>
      </c>
      <c r="B36" s="12">
        <v>2544640216</v>
      </c>
      <c r="C36" s="21">
        <v>250371553047</v>
      </c>
      <c r="D36" s="22" t="s">
        <v>1392</v>
      </c>
      <c r="E36" s="12" t="s">
        <v>30</v>
      </c>
      <c r="F36" s="20" t="s">
        <v>15</v>
      </c>
      <c r="G36" s="19" t="s">
        <v>34</v>
      </c>
      <c r="H36" s="20" t="s">
        <v>6</v>
      </c>
      <c r="I36" s="20" t="s">
        <v>8</v>
      </c>
      <c r="J36" s="20" t="s">
        <v>2</v>
      </c>
      <c r="K36" s="20" t="s">
        <v>3</v>
      </c>
      <c r="L36" s="20" t="s">
        <v>3</v>
      </c>
      <c r="M36" s="20" t="s">
        <v>3</v>
      </c>
      <c r="N36" s="11" t="s">
        <v>17</v>
      </c>
      <c r="O36" s="4">
        <v>8.0555555555555554</v>
      </c>
    </row>
    <row r="37" spans="1:15" s="5" customFormat="1" ht="50.1" customHeight="1">
      <c r="A37" s="2">
        <v>33</v>
      </c>
      <c r="B37" s="12">
        <v>2544640048</v>
      </c>
      <c r="C37" s="21">
        <v>250371553050</v>
      </c>
      <c r="D37" s="22" t="s">
        <v>1393</v>
      </c>
      <c r="E37" s="12" t="s">
        <v>30</v>
      </c>
      <c r="F37" s="20" t="s">
        <v>15</v>
      </c>
      <c r="G37" s="19" t="s">
        <v>34</v>
      </c>
      <c r="H37" s="20" t="s">
        <v>6</v>
      </c>
      <c r="I37" s="20" t="s">
        <v>8</v>
      </c>
      <c r="J37" s="20" t="s">
        <v>2</v>
      </c>
      <c r="K37" s="20" t="s">
        <v>2</v>
      </c>
      <c r="L37" s="20" t="s">
        <v>2</v>
      </c>
      <c r="M37" s="20" t="s">
        <v>2</v>
      </c>
      <c r="N37" s="11" t="s">
        <v>17</v>
      </c>
      <c r="O37" s="4">
        <v>8.5</v>
      </c>
    </row>
    <row r="38" spans="1:15" s="5" customFormat="1" ht="50.1" customHeight="1">
      <c r="A38" s="2">
        <v>34</v>
      </c>
      <c r="B38" s="12">
        <v>2544640676</v>
      </c>
      <c r="C38" s="21">
        <v>250371553051</v>
      </c>
      <c r="D38" s="22" t="s">
        <v>1394</v>
      </c>
      <c r="E38" s="12" t="s">
        <v>30</v>
      </c>
      <c r="F38" s="20" t="s">
        <v>15</v>
      </c>
      <c r="G38" s="19" t="s">
        <v>34</v>
      </c>
      <c r="H38" s="20" t="s">
        <v>2</v>
      </c>
      <c r="I38" s="20" t="s">
        <v>2</v>
      </c>
      <c r="J38" s="20" t="s">
        <v>4</v>
      </c>
      <c r="K38" s="20" t="s">
        <v>3</v>
      </c>
      <c r="L38" s="20" t="s">
        <v>2</v>
      </c>
      <c r="M38" s="20" t="s">
        <v>3</v>
      </c>
      <c r="N38" s="11" t="s">
        <v>17</v>
      </c>
      <c r="O38" s="4">
        <v>8.3333333333333339</v>
      </c>
    </row>
    <row r="39" spans="1:15" s="5" customFormat="1" ht="50.1" customHeight="1">
      <c r="A39" s="2">
        <v>35</v>
      </c>
      <c r="B39" s="12">
        <v>2544640212</v>
      </c>
      <c r="C39" s="21">
        <v>250371553053</v>
      </c>
      <c r="D39" s="22" t="s">
        <v>1395</v>
      </c>
      <c r="E39" s="12" t="s">
        <v>30</v>
      </c>
      <c r="F39" s="20" t="s">
        <v>15</v>
      </c>
      <c r="G39" s="19" t="s">
        <v>34</v>
      </c>
      <c r="H39" s="20" t="s">
        <v>2</v>
      </c>
      <c r="I39" s="20" t="s">
        <v>8</v>
      </c>
      <c r="J39" s="20" t="s">
        <v>2</v>
      </c>
      <c r="K39" s="20" t="s">
        <v>8</v>
      </c>
      <c r="L39" s="20" t="s">
        <v>4</v>
      </c>
      <c r="M39" s="20" t="s">
        <v>8</v>
      </c>
      <c r="N39" s="11" t="s">
        <v>17</v>
      </c>
      <c r="O39" s="4">
        <v>8.9444444444444446</v>
      </c>
    </row>
    <row r="40" spans="1:15" s="5" customFormat="1" ht="50.1" customHeight="1">
      <c r="A40" s="2">
        <v>36</v>
      </c>
      <c r="B40" s="12">
        <v>2544640660</v>
      </c>
      <c r="C40" s="21">
        <v>250371553054</v>
      </c>
      <c r="D40" s="22" t="s">
        <v>1396</v>
      </c>
      <c r="E40" s="12" t="s">
        <v>30</v>
      </c>
      <c r="F40" s="20" t="s">
        <v>15</v>
      </c>
      <c r="G40" s="19" t="s">
        <v>34</v>
      </c>
      <c r="H40" s="20" t="s">
        <v>3</v>
      </c>
      <c r="I40" s="20" t="s">
        <v>8</v>
      </c>
      <c r="J40" s="20" t="s">
        <v>3</v>
      </c>
      <c r="K40" s="20" t="s">
        <v>2</v>
      </c>
      <c r="L40" s="20" t="s">
        <v>8</v>
      </c>
      <c r="M40" s="20" t="s">
        <v>2</v>
      </c>
      <c r="N40" s="11" t="s">
        <v>17</v>
      </c>
      <c r="O40" s="4">
        <v>9</v>
      </c>
    </row>
    <row r="41" spans="1:15" s="5" customFormat="1" ht="50.1" customHeight="1">
      <c r="A41" s="2">
        <v>37</v>
      </c>
      <c r="B41" s="12">
        <v>2544640704</v>
      </c>
      <c r="C41" s="21">
        <v>250371553055</v>
      </c>
      <c r="D41" s="22" t="s">
        <v>1397</v>
      </c>
      <c r="E41" s="12" t="s">
        <v>30</v>
      </c>
      <c r="F41" s="20" t="s">
        <v>15</v>
      </c>
      <c r="G41" s="19" t="s">
        <v>34</v>
      </c>
      <c r="H41" s="20" t="s">
        <v>3</v>
      </c>
      <c r="I41" s="20" t="s">
        <v>8</v>
      </c>
      <c r="J41" s="20" t="s">
        <v>3</v>
      </c>
      <c r="K41" s="20" t="s">
        <v>2</v>
      </c>
      <c r="L41" s="20" t="s">
        <v>2</v>
      </c>
      <c r="M41" s="20" t="s">
        <v>2</v>
      </c>
      <c r="N41" s="11" t="s">
        <v>17</v>
      </c>
      <c r="O41" s="4">
        <v>8.7777777777777786</v>
      </c>
    </row>
    <row r="42" spans="1:15" s="5" customFormat="1" ht="50.1" customHeight="1">
      <c r="A42" s="2">
        <v>38</v>
      </c>
      <c r="B42" s="12">
        <v>2544640478</v>
      </c>
      <c r="C42" s="21">
        <v>250371553056</v>
      </c>
      <c r="D42" s="22" t="s">
        <v>1398</v>
      </c>
      <c r="E42" s="12" t="s">
        <v>30</v>
      </c>
      <c r="F42" s="20" t="s">
        <v>15</v>
      </c>
      <c r="G42" s="19" t="s">
        <v>34</v>
      </c>
      <c r="H42" s="20" t="s">
        <v>2</v>
      </c>
      <c r="I42" s="20" t="s">
        <v>8</v>
      </c>
      <c r="J42" s="20" t="s">
        <v>8</v>
      </c>
      <c r="K42" s="20" t="s">
        <v>2</v>
      </c>
      <c r="L42" s="20" t="s">
        <v>8</v>
      </c>
      <c r="M42" s="20" t="s">
        <v>8</v>
      </c>
      <c r="N42" s="11" t="s">
        <v>17</v>
      </c>
      <c r="O42" s="4">
        <v>9.6666666666666661</v>
      </c>
    </row>
    <row r="43" spans="1:15" s="5" customFormat="1" ht="50.1" customHeight="1">
      <c r="A43" s="2">
        <v>39</v>
      </c>
      <c r="B43" s="12">
        <v>2544640784</v>
      </c>
      <c r="C43" s="21">
        <v>250371553058</v>
      </c>
      <c r="D43" s="22" t="s">
        <v>1399</v>
      </c>
      <c r="E43" s="12" t="s">
        <v>30</v>
      </c>
      <c r="F43" s="20" t="s">
        <v>15</v>
      </c>
      <c r="G43" s="19" t="s">
        <v>34</v>
      </c>
      <c r="H43" s="20" t="s">
        <v>6</v>
      </c>
      <c r="I43" s="20" t="s">
        <v>8</v>
      </c>
      <c r="J43" s="20" t="s">
        <v>6</v>
      </c>
      <c r="K43" s="20" t="s">
        <v>3</v>
      </c>
      <c r="L43" s="20" t="s">
        <v>4</v>
      </c>
      <c r="M43" s="20" t="s">
        <v>3</v>
      </c>
      <c r="N43" s="11" t="s">
        <v>17</v>
      </c>
      <c r="O43" s="4">
        <v>6.9444444444444446</v>
      </c>
    </row>
    <row r="44" spans="1:15" s="5" customFormat="1" ht="50.1" customHeight="1">
      <c r="A44" s="2">
        <v>40</v>
      </c>
      <c r="B44" s="12">
        <v>2544640383</v>
      </c>
      <c r="C44" s="21">
        <v>250371553059</v>
      </c>
      <c r="D44" s="22" t="s">
        <v>1400</v>
      </c>
      <c r="E44" s="12" t="s">
        <v>30</v>
      </c>
      <c r="F44" s="20" t="s">
        <v>15</v>
      </c>
      <c r="G44" s="19" t="s">
        <v>34</v>
      </c>
      <c r="H44" s="20" t="s">
        <v>4</v>
      </c>
      <c r="I44" s="20" t="s">
        <v>8</v>
      </c>
      <c r="J44" s="20" t="s">
        <v>3</v>
      </c>
      <c r="K44" s="20" t="s">
        <v>2</v>
      </c>
      <c r="L44" s="20" t="s">
        <v>11</v>
      </c>
      <c r="M44" s="20" t="s">
        <v>8</v>
      </c>
      <c r="N44" s="11" t="s">
        <v>17</v>
      </c>
      <c r="O44" s="4">
        <v>7.5555555555555554</v>
      </c>
    </row>
    <row r="45" spans="1:15" s="5" customFormat="1" ht="50.1" customHeight="1">
      <c r="A45" s="2">
        <v>41</v>
      </c>
      <c r="B45" s="12">
        <v>2544640656</v>
      </c>
      <c r="C45" s="21">
        <v>250371553061</v>
      </c>
      <c r="D45" s="22" t="s">
        <v>1401</v>
      </c>
      <c r="E45" s="12" t="s">
        <v>30</v>
      </c>
      <c r="F45" s="20" t="s">
        <v>15</v>
      </c>
      <c r="G45" s="19" t="s">
        <v>34</v>
      </c>
      <c r="H45" s="20" t="s">
        <v>6</v>
      </c>
      <c r="I45" s="20" t="s">
        <v>4</v>
      </c>
      <c r="J45" s="20" t="s">
        <v>4</v>
      </c>
      <c r="K45" s="20" t="s">
        <v>4</v>
      </c>
      <c r="L45" s="20" t="s">
        <v>2</v>
      </c>
      <c r="M45" s="20" t="s">
        <v>3</v>
      </c>
      <c r="N45" s="11" t="s">
        <v>17</v>
      </c>
      <c r="O45" s="4">
        <v>7.166666666666667</v>
      </c>
    </row>
    <row r="46" spans="1:15" s="5" customFormat="1" ht="50.1" customHeight="1">
      <c r="A46" s="2">
        <v>42</v>
      </c>
      <c r="B46" s="12">
        <v>2544640103</v>
      </c>
      <c r="C46" s="21">
        <v>250371553062</v>
      </c>
      <c r="D46" s="22" t="s">
        <v>1402</v>
      </c>
      <c r="E46" s="12" t="s">
        <v>30</v>
      </c>
      <c r="F46" s="20" t="s">
        <v>15</v>
      </c>
      <c r="G46" s="19" t="s">
        <v>34</v>
      </c>
      <c r="H46" s="20" t="s">
        <v>4</v>
      </c>
      <c r="I46" s="20" t="s">
        <v>8</v>
      </c>
      <c r="J46" s="20" t="s">
        <v>2</v>
      </c>
      <c r="K46" s="20" t="s">
        <v>2</v>
      </c>
      <c r="L46" s="20" t="s">
        <v>5</v>
      </c>
      <c r="M46" s="20" t="s">
        <v>3</v>
      </c>
      <c r="N46" s="11" t="s">
        <v>17</v>
      </c>
      <c r="O46" s="4">
        <v>8.1111111111111107</v>
      </c>
    </row>
    <row r="47" spans="1:15" s="5" customFormat="1" ht="50.1" customHeight="1">
      <c r="A47" s="2">
        <v>43</v>
      </c>
      <c r="B47" s="12">
        <v>2544640394</v>
      </c>
      <c r="C47" s="21">
        <v>250371553064</v>
      </c>
      <c r="D47" s="22" t="s">
        <v>1403</v>
      </c>
      <c r="E47" s="12" t="s">
        <v>30</v>
      </c>
      <c r="F47" s="20" t="s">
        <v>15</v>
      </c>
      <c r="G47" s="19" t="s">
        <v>34</v>
      </c>
      <c r="H47" s="20" t="s">
        <v>3</v>
      </c>
      <c r="I47" s="20" t="s">
        <v>8</v>
      </c>
      <c r="J47" s="20" t="s">
        <v>8</v>
      </c>
      <c r="K47" s="20" t="s">
        <v>8</v>
      </c>
      <c r="L47" s="20" t="s">
        <v>6</v>
      </c>
      <c r="M47" s="20" t="s">
        <v>2</v>
      </c>
      <c r="N47" s="11" t="s">
        <v>17</v>
      </c>
      <c r="O47" s="4">
        <v>8.5</v>
      </c>
    </row>
    <row r="48" spans="1:15" s="5" customFormat="1" ht="50.1" customHeight="1">
      <c r="A48" s="2">
        <v>44</v>
      </c>
      <c r="B48" s="12">
        <v>2544640815</v>
      </c>
      <c r="C48" s="21">
        <v>250371553066</v>
      </c>
      <c r="D48" s="22" t="s">
        <v>1404</v>
      </c>
      <c r="E48" s="12" t="s">
        <v>30</v>
      </c>
      <c r="F48" s="20" t="s">
        <v>15</v>
      </c>
      <c r="G48" s="19" t="s">
        <v>34</v>
      </c>
      <c r="H48" s="20" t="s">
        <v>3</v>
      </c>
      <c r="I48" s="20" t="s">
        <v>8</v>
      </c>
      <c r="J48" s="20" t="s">
        <v>2</v>
      </c>
      <c r="K48" s="20" t="s">
        <v>2</v>
      </c>
      <c r="L48" s="20" t="s">
        <v>3</v>
      </c>
      <c r="M48" s="20" t="s">
        <v>8</v>
      </c>
      <c r="N48" s="11" t="s">
        <v>17</v>
      </c>
      <c r="O48" s="4">
        <v>8.8333333333333339</v>
      </c>
    </row>
    <row r="49" spans="1:15" s="5" customFormat="1" ht="50.1" customHeight="1">
      <c r="A49" s="2">
        <v>45</v>
      </c>
      <c r="B49" s="12">
        <v>2544640453</v>
      </c>
      <c r="C49" s="21">
        <v>250371553067</v>
      </c>
      <c r="D49" s="22" t="s">
        <v>1405</v>
      </c>
      <c r="E49" s="12" t="s">
        <v>30</v>
      </c>
      <c r="F49" s="20" t="s">
        <v>15</v>
      </c>
      <c r="G49" s="19" t="s">
        <v>34</v>
      </c>
      <c r="H49" s="20" t="s">
        <v>3</v>
      </c>
      <c r="I49" s="20" t="s">
        <v>8</v>
      </c>
      <c r="J49" s="20" t="s">
        <v>3</v>
      </c>
      <c r="K49" s="20" t="s">
        <v>3</v>
      </c>
      <c r="L49" s="20" t="s">
        <v>4</v>
      </c>
      <c r="M49" s="20" t="s">
        <v>2</v>
      </c>
      <c r="N49" s="11" t="s">
        <v>17</v>
      </c>
      <c r="O49" s="4">
        <v>8.1666666666666661</v>
      </c>
    </row>
    <row r="50" spans="1:15" s="5" customFormat="1" ht="50.1" customHeight="1">
      <c r="A50" s="2">
        <v>46</v>
      </c>
      <c r="B50" s="12">
        <v>2544640572</v>
      </c>
      <c r="C50" s="21">
        <v>250371553068</v>
      </c>
      <c r="D50" s="22" t="s">
        <v>1406</v>
      </c>
      <c r="E50" s="12" t="s">
        <v>30</v>
      </c>
      <c r="F50" s="20" t="s">
        <v>15</v>
      </c>
      <c r="G50" s="19" t="s">
        <v>34</v>
      </c>
      <c r="H50" s="20" t="s">
        <v>2</v>
      </c>
      <c r="I50" s="20" t="s">
        <v>8</v>
      </c>
      <c r="J50" s="20" t="s">
        <v>2</v>
      </c>
      <c r="K50" s="20" t="s">
        <v>8</v>
      </c>
      <c r="L50" s="20" t="s">
        <v>3</v>
      </c>
      <c r="M50" s="20" t="s">
        <v>2</v>
      </c>
      <c r="N50" s="11" t="s">
        <v>17</v>
      </c>
      <c r="O50" s="4">
        <v>9.1111111111111107</v>
      </c>
    </row>
    <row r="51" spans="1:15" s="5" customFormat="1" ht="50.1" hidden="1" customHeight="1">
      <c r="A51" s="2">
        <v>47</v>
      </c>
      <c r="B51" s="12">
        <v>2544640296</v>
      </c>
      <c r="C51" s="21">
        <v>250371553069</v>
      </c>
      <c r="D51" s="22" t="s">
        <v>1407</v>
      </c>
      <c r="E51" s="12" t="s">
        <v>30</v>
      </c>
      <c r="F51" s="20" t="s">
        <v>15</v>
      </c>
      <c r="G51" s="19" t="s">
        <v>34</v>
      </c>
      <c r="H51" s="20" t="s">
        <v>1516</v>
      </c>
      <c r="I51" s="20" t="s">
        <v>1516</v>
      </c>
      <c r="J51" s="20" t="s">
        <v>1516</v>
      </c>
      <c r="K51" s="20" t="s">
        <v>1516</v>
      </c>
      <c r="L51" s="20" t="s">
        <v>1516</v>
      </c>
      <c r="M51" s="20" t="s">
        <v>1516</v>
      </c>
      <c r="N51" s="20" t="s">
        <v>1516</v>
      </c>
      <c r="O51" s="4">
        <v>0</v>
      </c>
    </row>
    <row r="52" spans="1:15" s="5" customFormat="1" ht="50.1" customHeight="1">
      <c r="A52" s="2">
        <v>48</v>
      </c>
      <c r="B52" s="12">
        <v>2544640310</v>
      </c>
      <c r="C52" s="21">
        <v>250371553071</v>
      </c>
      <c r="D52" s="22" t="s">
        <v>1408</v>
      </c>
      <c r="E52" s="12" t="s">
        <v>30</v>
      </c>
      <c r="F52" s="20" t="s">
        <v>15</v>
      </c>
      <c r="G52" s="19" t="s">
        <v>34</v>
      </c>
      <c r="H52" s="20" t="s">
        <v>3</v>
      </c>
      <c r="I52" s="20" t="s">
        <v>8</v>
      </c>
      <c r="J52" s="20" t="s">
        <v>2</v>
      </c>
      <c r="K52" s="20" t="s">
        <v>2</v>
      </c>
      <c r="L52" s="20" t="s">
        <v>8</v>
      </c>
      <c r="M52" s="20" t="s">
        <v>8</v>
      </c>
      <c r="N52" s="11" t="s">
        <v>17</v>
      </c>
      <c r="O52" s="4">
        <v>9.2777777777777786</v>
      </c>
    </row>
    <row r="53" spans="1:15" s="5" customFormat="1" ht="50.1" customHeight="1">
      <c r="A53" s="2">
        <v>49</v>
      </c>
      <c r="B53" s="12">
        <v>2544640568</v>
      </c>
      <c r="C53" s="21">
        <v>250371553072</v>
      </c>
      <c r="D53" s="22" t="s">
        <v>1409</v>
      </c>
      <c r="E53" s="12" t="s">
        <v>30</v>
      </c>
      <c r="F53" s="20" t="s">
        <v>15</v>
      </c>
      <c r="G53" s="19" t="s">
        <v>34</v>
      </c>
      <c r="H53" s="20" t="s">
        <v>3</v>
      </c>
      <c r="I53" s="20" t="s">
        <v>8</v>
      </c>
      <c r="J53" s="20" t="s">
        <v>2</v>
      </c>
      <c r="K53" s="20" t="s">
        <v>2</v>
      </c>
      <c r="L53" s="20" t="s">
        <v>11</v>
      </c>
      <c r="M53" s="20" t="s">
        <v>2</v>
      </c>
      <c r="N53" s="11" t="s">
        <v>17</v>
      </c>
      <c r="O53" s="4">
        <v>7.8888888888888893</v>
      </c>
    </row>
    <row r="54" spans="1:15" s="5" customFormat="1" ht="50.1" customHeight="1">
      <c r="A54" s="2">
        <v>50</v>
      </c>
      <c r="B54" s="12">
        <v>2544640247</v>
      </c>
      <c r="C54" s="21">
        <v>250371553073</v>
      </c>
      <c r="D54" s="22" t="s">
        <v>1410</v>
      </c>
      <c r="E54" s="12" t="s">
        <v>30</v>
      </c>
      <c r="F54" s="20" t="s">
        <v>15</v>
      </c>
      <c r="G54" s="19" t="s">
        <v>34</v>
      </c>
      <c r="H54" s="20" t="s">
        <v>3</v>
      </c>
      <c r="I54" s="20" t="s">
        <v>8</v>
      </c>
      <c r="J54" s="20" t="s">
        <v>2</v>
      </c>
      <c r="K54" s="20" t="s">
        <v>8</v>
      </c>
      <c r="L54" s="20" t="s">
        <v>4</v>
      </c>
      <c r="M54" s="20" t="s">
        <v>2</v>
      </c>
      <c r="N54" s="11" t="s">
        <v>17</v>
      </c>
      <c r="O54" s="4">
        <v>8.7222222222222214</v>
      </c>
    </row>
    <row r="55" spans="1:15" s="5" customFormat="1" ht="50.1" customHeight="1">
      <c r="A55" s="2">
        <v>51</v>
      </c>
      <c r="B55" s="12">
        <v>2544640260</v>
      </c>
      <c r="C55" s="21">
        <v>250371553074</v>
      </c>
      <c r="D55" s="22" t="s">
        <v>1411</v>
      </c>
      <c r="E55" s="12" t="s">
        <v>30</v>
      </c>
      <c r="F55" s="20" t="s">
        <v>15</v>
      </c>
      <c r="G55" s="19" t="s">
        <v>34</v>
      </c>
      <c r="H55" s="20" t="s">
        <v>3</v>
      </c>
      <c r="I55" s="20" t="s">
        <v>8</v>
      </c>
      <c r="J55" s="20" t="s">
        <v>3</v>
      </c>
      <c r="K55" s="20" t="s">
        <v>3</v>
      </c>
      <c r="L55" s="20" t="s">
        <v>8</v>
      </c>
      <c r="M55" s="20" t="s">
        <v>3</v>
      </c>
      <c r="N55" s="11" t="s">
        <v>17</v>
      </c>
      <c r="O55" s="4">
        <v>8.7777777777777786</v>
      </c>
    </row>
    <row r="56" spans="1:15" s="5" customFormat="1" ht="50.1" customHeight="1">
      <c r="A56" s="2">
        <v>52</v>
      </c>
      <c r="B56" s="12">
        <v>2544640747</v>
      </c>
      <c r="C56" s="21">
        <v>250371553075</v>
      </c>
      <c r="D56" s="22" t="s">
        <v>1412</v>
      </c>
      <c r="E56" s="12" t="s">
        <v>30</v>
      </c>
      <c r="F56" s="20" t="s">
        <v>15</v>
      </c>
      <c r="G56" s="19" t="s">
        <v>34</v>
      </c>
      <c r="H56" s="20" t="s">
        <v>6</v>
      </c>
      <c r="I56" s="20" t="s">
        <v>8</v>
      </c>
      <c r="J56" s="20" t="s">
        <v>2</v>
      </c>
      <c r="K56" s="20" t="s">
        <v>3</v>
      </c>
      <c r="L56" s="20" t="s">
        <v>8</v>
      </c>
      <c r="M56" s="20" t="s">
        <v>2</v>
      </c>
      <c r="N56" s="11" t="s">
        <v>17</v>
      </c>
      <c r="O56" s="4">
        <v>8.5555555555555554</v>
      </c>
    </row>
    <row r="57" spans="1:15" s="5" customFormat="1" ht="50.1" customHeight="1">
      <c r="A57" s="2">
        <v>53</v>
      </c>
      <c r="B57" s="12">
        <v>2544640280</v>
      </c>
      <c r="C57" s="21">
        <v>250371553076</v>
      </c>
      <c r="D57" s="22" t="s">
        <v>1413</v>
      </c>
      <c r="E57" s="12" t="s">
        <v>30</v>
      </c>
      <c r="F57" s="20" t="s">
        <v>15</v>
      </c>
      <c r="G57" s="19" t="s">
        <v>34</v>
      </c>
      <c r="H57" s="20" t="s">
        <v>3</v>
      </c>
      <c r="I57" s="20" t="s">
        <v>3</v>
      </c>
      <c r="J57" s="20" t="s">
        <v>3</v>
      </c>
      <c r="K57" s="20" t="s">
        <v>2</v>
      </c>
      <c r="L57" s="20" t="s">
        <v>3</v>
      </c>
      <c r="M57" s="20" t="s">
        <v>3</v>
      </c>
      <c r="N57" s="11" t="s">
        <v>17</v>
      </c>
      <c r="O57" s="4">
        <v>8.1666666666666661</v>
      </c>
    </row>
    <row r="58" spans="1:15" s="5" customFormat="1" ht="50.1" customHeight="1">
      <c r="A58" s="2">
        <v>54</v>
      </c>
      <c r="B58" s="12">
        <v>2544640533</v>
      </c>
      <c r="C58" s="21">
        <v>250371553077</v>
      </c>
      <c r="D58" s="22" t="s">
        <v>1414</v>
      </c>
      <c r="E58" s="12" t="s">
        <v>30</v>
      </c>
      <c r="F58" s="20" t="s">
        <v>15</v>
      </c>
      <c r="G58" s="19" t="s">
        <v>34</v>
      </c>
      <c r="H58" s="20" t="s">
        <v>3</v>
      </c>
      <c r="I58" s="20" t="s">
        <v>8</v>
      </c>
      <c r="J58" s="20" t="s">
        <v>2</v>
      </c>
      <c r="K58" s="20" t="s">
        <v>2</v>
      </c>
      <c r="L58" s="20" t="s">
        <v>8</v>
      </c>
      <c r="M58" s="20" t="s">
        <v>2</v>
      </c>
      <c r="N58" s="11" t="s">
        <v>17</v>
      </c>
      <c r="O58" s="4">
        <v>9.2222222222222214</v>
      </c>
    </row>
    <row r="59" spans="1:15" s="5" customFormat="1" ht="50.1" customHeight="1">
      <c r="A59" s="2">
        <v>55</v>
      </c>
      <c r="B59" s="12">
        <v>2544640773</v>
      </c>
      <c r="C59" s="21">
        <v>250371553078</v>
      </c>
      <c r="D59" s="22" t="s">
        <v>1415</v>
      </c>
      <c r="E59" s="12" t="s">
        <v>30</v>
      </c>
      <c r="F59" s="20" t="s">
        <v>15</v>
      </c>
      <c r="G59" s="19" t="s">
        <v>34</v>
      </c>
      <c r="H59" s="20" t="s">
        <v>4</v>
      </c>
      <c r="I59" s="20" t="s">
        <v>3</v>
      </c>
      <c r="J59" s="20" t="s">
        <v>3</v>
      </c>
      <c r="K59" s="20" t="s">
        <v>3</v>
      </c>
      <c r="L59" s="20" t="s">
        <v>3</v>
      </c>
      <c r="M59" s="20" t="s">
        <v>2</v>
      </c>
      <c r="N59" s="11" t="s">
        <v>17</v>
      </c>
      <c r="O59" s="4">
        <v>7.8888888888888893</v>
      </c>
    </row>
    <row r="60" spans="1:15" s="5" customFormat="1" ht="50.1" customHeight="1">
      <c r="A60" s="2">
        <v>56</v>
      </c>
      <c r="B60" s="12">
        <v>2544640273</v>
      </c>
      <c r="C60" s="21">
        <v>250371553079</v>
      </c>
      <c r="D60" s="22" t="s">
        <v>1416</v>
      </c>
      <c r="E60" s="12" t="s">
        <v>30</v>
      </c>
      <c r="F60" s="20" t="s">
        <v>15</v>
      </c>
      <c r="G60" s="19" t="s">
        <v>34</v>
      </c>
      <c r="H60" s="20" t="s">
        <v>3</v>
      </c>
      <c r="I60" s="20" t="s">
        <v>8</v>
      </c>
      <c r="J60" s="20" t="s">
        <v>3</v>
      </c>
      <c r="K60" s="20" t="s">
        <v>2</v>
      </c>
      <c r="L60" s="20" t="s">
        <v>3</v>
      </c>
      <c r="M60" s="20" t="s">
        <v>8</v>
      </c>
      <c r="N60" s="11" t="s">
        <v>17</v>
      </c>
      <c r="O60" s="4">
        <v>8.6111111111111107</v>
      </c>
    </row>
    <row r="61" spans="1:15" s="5" customFormat="1" ht="50.1" hidden="1" customHeight="1">
      <c r="A61" s="2">
        <v>57</v>
      </c>
      <c r="B61" s="12">
        <v>2544640693</v>
      </c>
      <c r="C61" s="21">
        <v>250371553081</v>
      </c>
      <c r="D61" s="22" t="s">
        <v>1417</v>
      </c>
      <c r="E61" s="12" t="s">
        <v>30</v>
      </c>
      <c r="F61" s="20" t="s">
        <v>15</v>
      </c>
      <c r="G61" s="19" t="s">
        <v>34</v>
      </c>
      <c r="H61" s="20" t="s">
        <v>1516</v>
      </c>
      <c r="I61" s="20" t="s">
        <v>1516</v>
      </c>
      <c r="J61" s="20" t="s">
        <v>1516</v>
      </c>
      <c r="K61" s="20" t="s">
        <v>1516</v>
      </c>
      <c r="L61" s="20" t="s">
        <v>1516</v>
      </c>
      <c r="M61" s="20" t="s">
        <v>1516</v>
      </c>
      <c r="N61" s="20" t="s">
        <v>1516</v>
      </c>
      <c r="O61" s="4">
        <v>0</v>
      </c>
    </row>
    <row r="62" spans="1:15" s="5" customFormat="1" ht="50.1" hidden="1" customHeight="1">
      <c r="A62" s="2">
        <v>58</v>
      </c>
      <c r="B62" s="12">
        <v>2544640481</v>
      </c>
      <c r="C62" s="21">
        <v>250371553082</v>
      </c>
      <c r="D62" s="22" t="s">
        <v>1418</v>
      </c>
      <c r="E62" s="12" t="s">
        <v>30</v>
      </c>
      <c r="F62" s="20" t="s">
        <v>15</v>
      </c>
      <c r="G62" s="19" t="s">
        <v>34</v>
      </c>
      <c r="H62" s="20" t="s">
        <v>1516</v>
      </c>
      <c r="I62" s="20" t="s">
        <v>1516</v>
      </c>
      <c r="J62" s="20" t="s">
        <v>1516</v>
      </c>
      <c r="K62" s="20" t="s">
        <v>1516</v>
      </c>
      <c r="L62" s="20" t="s">
        <v>1516</v>
      </c>
      <c r="M62" s="20" t="s">
        <v>1516</v>
      </c>
      <c r="N62" s="20" t="s">
        <v>1516</v>
      </c>
      <c r="O62" s="4">
        <v>0</v>
      </c>
    </row>
    <row r="63" spans="1:15" s="5" customFormat="1" ht="50.1" customHeight="1">
      <c r="A63" s="2">
        <v>59</v>
      </c>
      <c r="B63" s="12">
        <v>2544640348</v>
      </c>
      <c r="C63" s="21">
        <v>250371553084</v>
      </c>
      <c r="D63" s="22" t="s">
        <v>1419</v>
      </c>
      <c r="E63" s="12" t="s">
        <v>30</v>
      </c>
      <c r="F63" s="20" t="s">
        <v>15</v>
      </c>
      <c r="G63" s="19" t="s">
        <v>34</v>
      </c>
      <c r="H63" s="20" t="s">
        <v>4</v>
      </c>
      <c r="I63" s="20" t="s">
        <v>2</v>
      </c>
      <c r="J63" s="20" t="s">
        <v>3</v>
      </c>
      <c r="K63" s="20" t="s">
        <v>2</v>
      </c>
      <c r="L63" s="20" t="s">
        <v>3</v>
      </c>
      <c r="M63" s="20" t="s">
        <v>2</v>
      </c>
      <c r="N63" s="11" t="s">
        <v>17</v>
      </c>
      <c r="O63" s="4">
        <v>8.2222222222222214</v>
      </c>
    </row>
    <row r="64" spans="1:15" s="5" customFormat="1" ht="50.1" customHeight="1">
      <c r="A64" s="2">
        <v>60</v>
      </c>
      <c r="B64" s="12">
        <v>2544640439</v>
      </c>
      <c r="C64" s="21">
        <v>250371553085</v>
      </c>
      <c r="D64" s="22" t="s">
        <v>1420</v>
      </c>
      <c r="E64" s="12" t="s">
        <v>30</v>
      </c>
      <c r="F64" s="20" t="s">
        <v>15</v>
      </c>
      <c r="G64" s="19" t="s">
        <v>34</v>
      </c>
      <c r="H64" s="20" t="s">
        <v>4</v>
      </c>
      <c r="I64" s="20" t="s">
        <v>3</v>
      </c>
      <c r="J64" s="20" t="s">
        <v>3</v>
      </c>
      <c r="K64" s="20" t="s">
        <v>4</v>
      </c>
      <c r="L64" s="20" t="s">
        <v>3</v>
      </c>
      <c r="M64" s="20" t="s">
        <v>3</v>
      </c>
      <c r="N64" s="11" t="s">
        <v>17</v>
      </c>
      <c r="O64" s="4">
        <v>7.666666666666667</v>
      </c>
    </row>
    <row r="65" spans="1:15" s="5" customFormat="1" ht="50.1" customHeight="1">
      <c r="A65" s="2">
        <v>61</v>
      </c>
      <c r="B65" s="12">
        <v>2544640561</v>
      </c>
      <c r="C65" s="21">
        <v>250371553086</v>
      </c>
      <c r="D65" s="22" t="s">
        <v>1421</v>
      </c>
      <c r="E65" s="12" t="s">
        <v>30</v>
      </c>
      <c r="F65" s="20" t="s">
        <v>15</v>
      </c>
      <c r="G65" s="19" t="s">
        <v>34</v>
      </c>
      <c r="H65" s="20" t="s">
        <v>2</v>
      </c>
      <c r="I65" s="20" t="s">
        <v>8</v>
      </c>
      <c r="J65" s="20" t="s">
        <v>2</v>
      </c>
      <c r="K65" s="20" t="s">
        <v>8</v>
      </c>
      <c r="L65" s="20" t="s">
        <v>2</v>
      </c>
      <c r="M65" s="20" t="s">
        <v>8</v>
      </c>
      <c r="N65" s="11" t="s">
        <v>17</v>
      </c>
      <c r="O65" s="4">
        <v>9.3888888888888893</v>
      </c>
    </row>
    <row r="66" spans="1:15" s="5" customFormat="1" ht="50.1" customHeight="1">
      <c r="A66" s="2">
        <v>62</v>
      </c>
      <c r="B66" s="12">
        <v>2544640634</v>
      </c>
      <c r="C66" s="21">
        <v>250371553087</v>
      </c>
      <c r="D66" s="22" t="s">
        <v>1422</v>
      </c>
      <c r="E66" s="12" t="s">
        <v>30</v>
      </c>
      <c r="F66" s="20" t="s">
        <v>15</v>
      </c>
      <c r="G66" s="19" t="s">
        <v>34</v>
      </c>
      <c r="H66" s="20" t="s">
        <v>5</v>
      </c>
      <c r="I66" s="20" t="s">
        <v>3</v>
      </c>
      <c r="J66" s="20" t="s">
        <v>2</v>
      </c>
      <c r="K66" s="20" t="s">
        <v>3</v>
      </c>
      <c r="L66" s="20" t="s">
        <v>3</v>
      </c>
      <c r="M66" s="20" t="s">
        <v>5</v>
      </c>
      <c r="N66" s="11" t="s">
        <v>17</v>
      </c>
      <c r="O66" s="4">
        <v>7.7777777777777777</v>
      </c>
    </row>
    <row r="67" spans="1:15" s="5" customFormat="1" ht="50.1" hidden="1" customHeight="1">
      <c r="A67" s="2">
        <v>63</v>
      </c>
      <c r="B67" s="12">
        <v>2544640714</v>
      </c>
      <c r="C67" s="21">
        <v>250371553089</v>
      </c>
      <c r="D67" s="22" t="s">
        <v>1423</v>
      </c>
      <c r="E67" s="12" t="s">
        <v>30</v>
      </c>
      <c r="F67" s="20" t="s">
        <v>15</v>
      </c>
      <c r="G67" s="19" t="s">
        <v>34</v>
      </c>
      <c r="H67" s="20" t="s">
        <v>4</v>
      </c>
      <c r="I67" s="20" t="s">
        <v>3</v>
      </c>
      <c r="J67" s="20" t="s">
        <v>2</v>
      </c>
      <c r="K67" s="20" t="s">
        <v>2</v>
      </c>
      <c r="L67" s="20" t="s">
        <v>7</v>
      </c>
      <c r="M67" s="20" t="s">
        <v>3</v>
      </c>
      <c r="N67" s="11" t="s">
        <v>7</v>
      </c>
      <c r="O67" s="4">
        <v>0</v>
      </c>
    </row>
    <row r="68" spans="1:15" s="5" customFormat="1" ht="50.1" customHeight="1">
      <c r="A68" s="2">
        <v>64</v>
      </c>
      <c r="B68" s="12">
        <v>2544640269</v>
      </c>
      <c r="C68" s="21">
        <v>250371553090</v>
      </c>
      <c r="D68" s="22" t="s">
        <v>1424</v>
      </c>
      <c r="E68" s="12" t="s">
        <v>30</v>
      </c>
      <c r="F68" s="20" t="s">
        <v>15</v>
      </c>
      <c r="G68" s="19" t="s">
        <v>34</v>
      </c>
      <c r="H68" s="20" t="s">
        <v>2</v>
      </c>
      <c r="I68" s="20" t="s">
        <v>8</v>
      </c>
      <c r="J68" s="20" t="s">
        <v>2</v>
      </c>
      <c r="K68" s="20" t="s">
        <v>2</v>
      </c>
      <c r="L68" s="20" t="s">
        <v>3</v>
      </c>
      <c r="M68" s="20" t="s">
        <v>2</v>
      </c>
      <c r="N68" s="11" t="s">
        <v>17</v>
      </c>
      <c r="O68" s="4">
        <v>8.9444444444444446</v>
      </c>
    </row>
    <row r="69" spans="1:15" s="5" customFormat="1" ht="50.1" hidden="1" customHeight="1">
      <c r="A69" s="2">
        <v>65</v>
      </c>
      <c r="B69" s="12">
        <v>2544640411</v>
      </c>
      <c r="C69" s="21">
        <v>250371553091</v>
      </c>
      <c r="D69" s="22" t="s">
        <v>1425</v>
      </c>
      <c r="E69" s="12" t="s">
        <v>30</v>
      </c>
      <c r="F69" s="20" t="s">
        <v>15</v>
      </c>
      <c r="G69" s="19" t="s">
        <v>34</v>
      </c>
      <c r="H69" s="20" t="s">
        <v>4</v>
      </c>
      <c r="I69" s="20" t="s">
        <v>6</v>
      </c>
      <c r="J69" s="20" t="s">
        <v>1517</v>
      </c>
      <c r="K69" s="20" t="s">
        <v>4</v>
      </c>
      <c r="L69" s="20" t="s">
        <v>5</v>
      </c>
      <c r="M69" s="20" t="s">
        <v>3</v>
      </c>
      <c r="N69" s="11" t="s">
        <v>1517</v>
      </c>
      <c r="O69" s="4">
        <v>0</v>
      </c>
    </row>
    <row r="70" spans="1:15" s="5" customFormat="1" ht="50.1" customHeight="1">
      <c r="A70" s="2">
        <v>66</v>
      </c>
      <c r="B70" s="12">
        <v>2544640508</v>
      </c>
      <c r="C70" s="21">
        <v>250371553092</v>
      </c>
      <c r="D70" s="22" t="s">
        <v>1426</v>
      </c>
      <c r="E70" s="12" t="s">
        <v>30</v>
      </c>
      <c r="F70" s="20" t="s">
        <v>15</v>
      </c>
      <c r="G70" s="19" t="s">
        <v>34</v>
      </c>
      <c r="H70" s="20" t="s">
        <v>4</v>
      </c>
      <c r="I70" s="20" t="s">
        <v>4</v>
      </c>
      <c r="J70" s="20" t="s">
        <v>6</v>
      </c>
      <c r="K70" s="20" t="s">
        <v>4</v>
      </c>
      <c r="L70" s="20" t="s">
        <v>4</v>
      </c>
      <c r="M70" s="20" t="s">
        <v>3</v>
      </c>
      <c r="N70" s="11" t="s">
        <v>17</v>
      </c>
      <c r="O70" s="4">
        <v>6.6111111111111107</v>
      </c>
    </row>
    <row r="71" spans="1:15" s="5" customFormat="1" ht="50.1" customHeight="1">
      <c r="A71" s="2">
        <v>67</v>
      </c>
      <c r="B71" s="12">
        <v>2544640610</v>
      </c>
      <c r="C71" s="21">
        <v>250371553093</v>
      </c>
      <c r="D71" s="22" t="s">
        <v>1427</v>
      </c>
      <c r="E71" s="12" t="s">
        <v>30</v>
      </c>
      <c r="F71" s="20" t="s">
        <v>15</v>
      </c>
      <c r="G71" s="19" t="s">
        <v>34</v>
      </c>
      <c r="H71" s="20" t="s">
        <v>6</v>
      </c>
      <c r="I71" s="20" t="s">
        <v>4</v>
      </c>
      <c r="J71" s="20" t="s">
        <v>5</v>
      </c>
      <c r="K71" s="20" t="s">
        <v>5</v>
      </c>
      <c r="L71" s="20" t="s">
        <v>5</v>
      </c>
      <c r="M71" s="20" t="s">
        <v>5</v>
      </c>
      <c r="N71" s="11" t="s">
        <v>17</v>
      </c>
      <c r="O71" s="4">
        <v>6</v>
      </c>
    </row>
    <row r="72" spans="1:15" s="5" customFormat="1" ht="50.1" customHeight="1">
      <c r="A72" s="2">
        <v>68</v>
      </c>
      <c r="B72" s="12">
        <v>2544640422</v>
      </c>
      <c r="C72" s="21">
        <v>250371553096</v>
      </c>
      <c r="D72" s="22" t="s">
        <v>1428</v>
      </c>
      <c r="E72" s="12" t="s">
        <v>30</v>
      </c>
      <c r="F72" s="20" t="s">
        <v>15</v>
      </c>
      <c r="G72" s="19" t="s">
        <v>34</v>
      </c>
      <c r="H72" s="20" t="s">
        <v>3</v>
      </c>
      <c r="I72" s="20" t="s">
        <v>8</v>
      </c>
      <c r="J72" s="20" t="s">
        <v>2</v>
      </c>
      <c r="K72" s="20" t="s">
        <v>2</v>
      </c>
      <c r="L72" s="20" t="s">
        <v>4</v>
      </c>
      <c r="M72" s="20" t="s">
        <v>8</v>
      </c>
      <c r="N72" s="11" t="s">
        <v>17</v>
      </c>
      <c r="O72" s="4">
        <v>8.6111111111111107</v>
      </c>
    </row>
    <row r="73" spans="1:15" s="5" customFormat="1" ht="50.1" customHeight="1">
      <c r="A73" s="2">
        <v>69</v>
      </c>
      <c r="B73" s="12">
        <v>2544640155</v>
      </c>
      <c r="C73" s="21">
        <v>250371553097</v>
      </c>
      <c r="D73" s="22" t="s">
        <v>1429</v>
      </c>
      <c r="E73" s="12" t="s">
        <v>30</v>
      </c>
      <c r="F73" s="20" t="s">
        <v>15</v>
      </c>
      <c r="G73" s="19" t="s">
        <v>34</v>
      </c>
      <c r="H73" s="20" t="s">
        <v>4</v>
      </c>
      <c r="I73" s="20" t="s">
        <v>8</v>
      </c>
      <c r="J73" s="20" t="s">
        <v>2</v>
      </c>
      <c r="K73" s="20" t="s">
        <v>2</v>
      </c>
      <c r="L73" s="20" t="s">
        <v>2</v>
      </c>
      <c r="M73" s="20" t="s">
        <v>2</v>
      </c>
      <c r="N73" s="11" t="s">
        <v>17</v>
      </c>
      <c r="O73" s="4">
        <v>8.8333333333333339</v>
      </c>
    </row>
    <row r="74" spans="1:15" s="5" customFormat="1" ht="50.1" customHeight="1">
      <c r="A74" s="2">
        <v>70</v>
      </c>
      <c r="B74" s="12">
        <v>2544640225</v>
      </c>
      <c r="C74" s="21">
        <v>250371553098</v>
      </c>
      <c r="D74" s="22" t="s">
        <v>1430</v>
      </c>
      <c r="E74" s="12" t="s">
        <v>30</v>
      </c>
      <c r="F74" s="20" t="s">
        <v>15</v>
      </c>
      <c r="G74" s="19" t="s">
        <v>34</v>
      </c>
      <c r="H74" s="20" t="s">
        <v>2</v>
      </c>
      <c r="I74" s="20" t="s">
        <v>8</v>
      </c>
      <c r="J74" s="20" t="s">
        <v>2</v>
      </c>
      <c r="K74" s="20" t="s">
        <v>2</v>
      </c>
      <c r="L74" s="20" t="s">
        <v>2</v>
      </c>
      <c r="M74" s="20" t="s">
        <v>2</v>
      </c>
      <c r="N74" s="11" t="s">
        <v>17</v>
      </c>
      <c r="O74" s="4">
        <v>9.1666666666666661</v>
      </c>
    </row>
    <row r="75" spans="1:15" s="5" customFormat="1" ht="50.1" customHeight="1">
      <c r="A75" s="2">
        <v>71</v>
      </c>
      <c r="B75" s="12">
        <v>2544640840</v>
      </c>
      <c r="C75" s="21">
        <v>250371553099</v>
      </c>
      <c r="D75" s="22" t="s">
        <v>1431</v>
      </c>
      <c r="E75" s="12" t="s">
        <v>30</v>
      </c>
      <c r="F75" s="20" t="s">
        <v>15</v>
      </c>
      <c r="G75" s="19" t="s">
        <v>34</v>
      </c>
      <c r="H75" s="20" t="s">
        <v>4</v>
      </c>
      <c r="I75" s="20" t="s">
        <v>8</v>
      </c>
      <c r="J75" s="20" t="s">
        <v>2</v>
      </c>
      <c r="K75" s="20" t="s">
        <v>2</v>
      </c>
      <c r="L75" s="20" t="s">
        <v>2</v>
      </c>
      <c r="M75" s="20" t="s">
        <v>8</v>
      </c>
      <c r="N75" s="11" t="s">
        <v>17</v>
      </c>
      <c r="O75" s="4">
        <v>8.8888888888888893</v>
      </c>
    </row>
    <row r="76" spans="1:15" s="5" customFormat="1" ht="50.1" customHeight="1">
      <c r="A76" s="2">
        <v>72</v>
      </c>
      <c r="B76" s="12">
        <v>2544640373</v>
      </c>
      <c r="C76" s="21">
        <v>250371553100</v>
      </c>
      <c r="D76" s="22" t="s">
        <v>1432</v>
      </c>
      <c r="E76" s="12" t="s">
        <v>30</v>
      </c>
      <c r="F76" s="20" t="s">
        <v>15</v>
      </c>
      <c r="G76" s="19" t="s">
        <v>34</v>
      </c>
      <c r="H76" s="20" t="s">
        <v>4</v>
      </c>
      <c r="I76" s="20" t="s">
        <v>2</v>
      </c>
      <c r="J76" s="20" t="s">
        <v>2</v>
      </c>
      <c r="K76" s="20" t="s">
        <v>3</v>
      </c>
      <c r="L76" s="20" t="s">
        <v>11</v>
      </c>
      <c r="M76" s="20" t="s">
        <v>2</v>
      </c>
      <c r="N76" s="11" t="s">
        <v>17</v>
      </c>
      <c r="O76" s="4">
        <v>7.3888888888888893</v>
      </c>
    </row>
    <row r="77" spans="1:15" s="5" customFormat="1" ht="50.1" customHeight="1">
      <c r="A77" s="2">
        <v>73</v>
      </c>
      <c r="B77" s="12">
        <v>2544641060</v>
      </c>
      <c r="C77" s="21">
        <v>250371553101</v>
      </c>
      <c r="D77" s="22" t="s">
        <v>1433</v>
      </c>
      <c r="E77" s="12" t="s">
        <v>30</v>
      </c>
      <c r="F77" s="20" t="s">
        <v>15</v>
      </c>
      <c r="G77" s="19" t="s">
        <v>34</v>
      </c>
      <c r="H77" s="20" t="s">
        <v>4</v>
      </c>
      <c r="I77" s="20" t="s">
        <v>3</v>
      </c>
      <c r="J77" s="20" t="s">
        <v>3</v>
      </c>
      <c r="K77" s="20" t="s">
        <v>3</v>
      </c>
      <c r="L77" s="20" t="s">
        <v>8</v>
      </c>
      <c r="M77" s="20" t="s">
        <v>8</v>
      </c>
      <c r="N77" s="11" t="s">
        <v>17</v>
      </c>
      <c r="O77" s="4">
        <v>8.3888888888888893</v>
      </c>
    </row>
    <row r="78" spans="1:15" s="5" customFormat="1" ht="50.1" customHeight="1">
      <c r="A78" s="2">
        <v>74</v>
      </c>
      <c r="B78" s="12">
        <v>2544640565</v>
      </c>
      <c r="C78" s="21">
        <v>250371553103</v>
      </c>
      <c r="D78" s="22" t="s">
        <v>1434</v>
      </c>
      <c r="E78" s="12" t="s">
        <v>30</v>
      </c>
      <c r="F78" s="20" t="s">
        <v>15</v>
      </c>
      <c r="G78" s="19" t="s">
        <v>34</v>
      </c>
      <c r="H78" s="20" t="s">
        <v>4</v>
      </c>
      <c r="I78" s="20" t="s">
        <v>3</v>
      </c>
      <c r="J78" s="20" t="s">
        <v>3</v>
      </c>
      <c r="K78" s="20" t="s">
        <v>3</v>
      </c>
      <c r="L78" s="20" t="s">
        <v>3</v>
      </c>
      <c r="M78" s="20" t="s">
        <v>3</v>
      </c>
      <c r="N78" s="11" t="s">
        <v>17</v>
      </c>
      <c r="O78" s="4">
        <v>7.833333333333333</v>
      </c>
    </row>
    <row r="79" spans="1:15" s="5" customFormat="1" ht="50.1" customHeight="1">
      <c r="A79" s="2">
        <v>75</v>
      </c>
      <c r="B79" s="12">
        <v>2544640285</v>
      </c>
      <c r="C79" s="21">
        <v>250371553104</v>
      </c>
      <c r="D79" s="22" t="s">
        <v>1435</v>
      </c>
      <c r="E79" s="12" t="s">
        <v>30</v>
      </c>
      <c r="F79" s="20" t="s">
        <v>15</v>
      </c>
      <c r="G79" s="19" t="s">
        <v>34</v>
      </c>
      <c r="H79" s="20" t="s">
        <v>3</v>
      </c>
      <c r="I79" s="20" t="s">
        <v>8</v>
      </c>
      <c r="J79" s="20" t="s">
        <v>8</v>
      </c>
      <c r="K79" s="20" t="s">
        <v>2</v>
      </c>
      <c r="L79" s="20" t="s">
        <v>2</v>
      </c>
      <c r="M79" s="20" t="s">
        <v>2</v>
      </c>
      <c r="N79" s="11" t="s">
        <v>17</v>
      </c>
      <c r="O79" s="4">
        <v>9.2222222222222214</v>
      </c>
    </row>
    <row r="80" spans="1:15" s="5" customFormat="1" ht="50.1" hidden="1" customHeight="1">
      <c r="A80" s="2">
        <v>76</v>
      </c>
      <c r="B80" s="12">
        <v>2544640633</v>
      </c>
      <c r="C80" s="21">
        <v>250371553105</v>
      </c>
      <c r="D80" s="22" t="s">
        <v>1436</v>
      </c>
      <c r="E80" s="12" t="s">
        <v>30</v>
      </c>
      <c r="F80" s="20" t="s">
        <v>15</v>
      </c>
      <c r="G80" s="19" t="s">
        <v>34</v>
      </c>
      <c r="H80" s="20" t="s">
        <v>1516</v>
      </c>
      <c r="I80" s="20" t="s">
        <v>1516</v>
      </c>
      <c r="J80" s="20" t="s">
        <v>1516</v>
      </c>
      <c r="K80" s="20" t="s">
        <v>1516</v>
      </c>
      <c r="L80" s="20" t="s">
        <v>1516</v>
      </c>
      <c r="M80" s="20" t="s">
        <v>1516</v>
      </c>
      <c r="N80" s="20" t="s">
        <v>1516</v>
      </c>
      <c r="O80" s="4">
        <v>0</v>
      </c>
    </row>
    <row r="81" spans="1:15" s="5" customFormat="1" ht="50.1" customHeight="1">
      <c r="A81" s="2">
        <v>77</v>
      </c>
      <c r="B81" s="12">
        <v>2544640002</v>
      </c>
      <c r="C81" s="21">
        <v>250371553106</v>
      </c>
      <c r="D81" s="22" t="s">
        <v>1437</v>
      </c>
      <c r="E81" s="12" t="s">
        <v>30</v>
      </c>
      <c r="F81" s="20" t="s">
        <v>15</v>
      </c>
      <c r="G81" s="19" t="s">
        <v>34</v>
      </c>
      <c r="H81" s="20" t="s">
        <v>2</v>
      </c>
      <c r="I81" s="20" t="s">
        <v>2</v>
      </c>
      <c r="J81" s="20" t="s">
        <v>3</v>
      </c>
      <c r="K81" s="20" t="s">
        <v>3</v>
      </c>
      <c r="L81" s="20" t="s">
        <v>3</v>
      </c>
      <c r="M81" s="20" t="s">
        <v>2</v>
      </c>
      <c r="N81" s="11" t="s">
        <v>17</v>
      </c>
      <c r="O81" s="4">
        <v>8.3888888888888893</v>
      </c>
    </row>
    <row r="82" spans="1:15" s="5" customFormat="1" ht="50.1" customHeight="1">
      <c r="A82" s="2">
        <v>78</v>
      </c>
      <c r="B82" s="12">
        <v>2544640009</v>
      </c>
      <c r="C82" s="21">
        <v>250371553109</v>
      </c>
      <c r="D82" s="22" t="s">
        <v>1438</v>
      </c>
      <c r="E82" s="12" t="s">
        <v>30</v>
      </c>
      <c r="F82" s="20" t="s">
        <v>15</v>
      </c>
      <c r="G82" s="19" t="s">
        <v>34</v>
      </c>
      <c r="H82" s="20" t="s">
        <v>4</v>
      </c>
      <c r="I82" s="20" t="s">
        <v>3</v>
      </c>
      <c r="J82" s="20" t="s">
        <v>3</v>
      </c>
      <c r="K82" s="20" t="s">
        <v>3</v>
      </c>
      <c r="L82" s="20" t="s">
        <v>3</v>
      </c>
      <c r="M82" s="20" t="s">
        <v>4</v>
      </c>
      <c r="N82" s="11" t="s">
        <v>17</v>
      </c>
      <c r="O82" s="4">
        <v>7.7777777777777777</v>
      </c>
    </row>
    <row r="83" spans="1:15" s="5" customFormat="1" ht="50.1" customHeight="1">
      <c r="A83" s="2">
        <v>79</v>
      </c>
      <c r="B83" s="12">
        <v>2544640807</v>
      </c>
      <c r="C83" s="21">
        <v>250371553111</v>
      </c>
      <c r="D83" s="22" t="s">
        <v>1439</v>
      </c>
      <c r="E83" s="12" t="s">
        <v>30</v>
      </c>
      <c r="F83" s="20" t="s">
        <v>15</v>
      </c>
      <c r="G83" s="19" t="s">
        <v>34</v>
      </c>
      <c r="H83" s="20" t="s">
        <v>4</v>
      </c>
      <c r="I83" s="20" t="s">
        <v>8</v>
      </c>
      <c r="J83" s="20" t="s">
        <v>8</v>
      </c>
      <c r="K83" s="20" t="s">
        <v>2</v>
      </c>
      <c r="L83" s="20" t="s">
        <v>4</v>
      </c>
      <c r="M83" s="20" t="s">
        <v>2</v>
      </c>
      <c r="N83" s="11" t="s">
        <v>17</v>
      </c>
      <c r="O83" s="4">
        <v>8.6111111111111107</v>
      </c>
    </row>
    <row r="84" spans="1:15" s="5" customFormat="1" ht="50.1" customHeight="1">
      <c r="A84" s="2">
        <v>80</v>
      </c>
      <c r="B84" s="12">
        <v>2544640147</v>
      </c>
      <c r="C84" s="21">
        <v>250371553113</v>
      </c>
      <c r="D84" s="22" t="s">
        <v>1440</v>
      </c>
      <c r="E84" s="12" t="s">
        <v>30</v>
      </c>
      <c r="F84" s="20" t="s">
        <v>15</v>
      </c>
      <c r="G84" s="19" t="s">
        <v>34</v>
      </c>
      <c r="H84" s="20" t="s">
        <v>4</v>
      </c>
      <c r="I84" s="20" t="s">
        <v>11</v>
      </c>
      <c r="J84" s="20" t="s">
        <v>3</v>
      </c>
      <c r="K84" s="20" t="s">
        <v>3</v>
      </c>
      <c r="L84" s="20" t="s">
        <v>3</v>
      </c>
      <c r="M84" s="20" t="s">
        <v>3</v>
      </c>
      <c r="N84" s="11" t="s">
        <v>17</v>
      </c>
      <c r="O84" s="4">
        <v>7.166666666666667</v>
      </c>
    </row>
    <row r="85" spans="1:15" s="5" customFormat="1" ht="50.1" customHeight="1">
      <c r="A85" s="2">
        <v>81</v>
      </c>
      <c r="B85" s="12">
        <v>2544640293</v>
      </c>
      <c r="C85" s="21">
        <v>250371553114</v>
      </c>
      <c r="D85" s="22" t="s">
        <v>1441</v>
      </c>
      <c r="E85" s="12" t="s">
        <v>30</v>
      </c>
      <c r="F85" s="20" t="s">
        <v>15</v>
      </c>
      <c r="G85" s="19" t="s">
        <v>34</v>
      </c>
      <c r="H85" s="20" t="s">
        <v>11</v>
      </c>
      <c r="I85" s="20" t="s">
        <v>11</v>
      </c>
      <c r="J85" s="20" t="s">
        <v>11</v>
      </c>
      <c r="K85" s="20" t="s">
        <v>5</v>
      </c>
      <c r="L85" s="20" t="s">
        <v>6</v>
      </c>
      <c r="M85" s="20" t="s">
        <v>3</v>
      </c>
      <c r="N85" s="11" t="s">
        <v>17</v>
      </c>
      <c r="O85" s="4">
        <v>4.78</v>
      </c>
    </row>
    <row r="86" spans="1:15" s="5" customFormat="1" ht="50.1" customHeight="1">
      <c r="A86" s="2">
        <v>82</v>
      </c>
      <c r="B86" s="12">
        <v>2544640029</v>
      </c>
      <c r="C86" s="21">
        <v>250371553115</v>
      </c>
      <c r="D86" s="22" t="s">
        <v>1442</v>
      </c>
      <c r="E86" s="12" t="s">
        <v>30</v>
      </c>
      <c r="F86" s="20" t="s">
        <v>15</v>
      </c>
      <c r="G86" s="19" t="s">
        <v>34</v>
      </c>
      <c r="H86" s="20" t="s">
        <v>4</v>
      </c>
      <c r="I86" s="20" t="s">
        <v>4</v>
      </c>
      <c r="J86" s="20" t="s">
        <v>6</v>
      </c>
      <c r="K86" s="20" t="s">
        <v>3</v>
      </c>
      <c r="L86" s="20" t="s">
        <v>4</v>
      </c>
      <c r="M86" s="20" t="s">
        <v>4</v>
      </c>
      <c r="N86" s="11" t="s">
        <v>17</v>
      </c>
      <c r="O86" s="4">
        <v>6.7222222222222223</v>
      </c>
    </row>
    <row r="87" spans="1:15" s="5" customFormat="1" ht="50.1" customHeight="1">
      <c r="A87" s="2">
        <v>83</v>
      </c>
      <c r="B87" s="12">
        <v>2544640489</v>
      </c>
      <c r="C87" s="21">
        <v>250371553118</v>
      </c>
      <c r="D87" s="22" t="s">
        <v>1443</v>
      </c>
      <c r="E87" s="12" t="s">
        <v>30</v>
      </c>
      <c r="F87" s="20" t="s">
        <v>15</v>
      </c>
      <c r="G87" s="19" t="s">
        <v>34</v>
      </c>
      <c r="H87" s="20" t="s">
        <v>2</v>
      </c>
      <c r="I87" s="20" t="s">
        <v>8</v>
      </c>
      <c r="J87" s="20" t="s">
        <v>3</v>
      </c>
      <c r="K87" s="20" t="s">
        <v>8</v>
      </c>
      <c r="L87" s="20" t="s">
        <v>6</v>
      </c>
      <c r="M87" s="20" t="s">
        <v>2</v>
      </c>
      <c r="N87" s="11" t="s">
        <v>17</v>
      </c>
      <c r="O87" s="4">
        <v>8.2222222222222214</v>
      </c>
    </row>
    <row r="88" spans="1:15" s="5" customFormat="1" ht="50.1" customHeight="1">
      <c r="A88" s="2">
        <v>84</v>
      </c>
      <c r="B88" s="12">
        <v>2544640070</v>
      </c>
      <c r="C88" s="21">
        <v>250371553119</v>
      </c>
      <c r="D88" s="22" t="s">
        <v>1444</v>
      </c>
      <c r="E88" s="12" t="s">
        <v>30</v>
      </c>
      <c r="F88" s="20" t="s">
        <v>15</v>
      </c>
      <c r="G88" s="19" t="s">
        <v>34</v>
      </c>
      <c r="H88" s="20" t="s">
        <v>3</v>
      </c>
      <c r="I88" s="20" t="s">
        <v>8</v>
      </c>
      <c r="J88" s="20" t="s">
        <v>3</v>
      </c>
      <c r="K88" s="20" t="s">
        <v>2</v>
      </c>
      <c r="L88" s="20" t="s">
        <v>3</v>
      </c>
      <c r="M88" s="20" t="s">
        <v>8</v>
      </c>
      <c r="N88" s="11" t="s">
        <v>17</v>
      </c>
      <c r="O88" s="4">
        <v>8.6111111111111107</v>
      </c>
    </row>
    <row r="89" spans="1:15" s="5" customFormat="1" ht="50.1" customHeight="1">
      <c r="A89" s="2">
        <v>85</v>
      </c>
      <c r="B89" s="12">
        <v>2544640789</v>
      </c>
      <c r="C89" s="21">
        <v>250371553120</v>
      </c>
      <c r="D89" s="22" t="s">
        <v>1445</v>
      </c>
      <c r="E89" s="12" t="s">
        <v>30</v>
      </c>
      <c r="F89" s="20" t="s">
        <v>15</v>
      </c>
      <c r="G89" s="19" t="s">
        <v>34</v>
      </c>
      <c r="H89" s="20" t="s">
        <v>3</v>
      </c>
      <c r="I89" s="20" t="s">
        <v>8</v>
      </c>
      <c r="J89" s="20" t="s">
        <v>4</v>
      </c>
      <c r="K89" s="20" t="s">
        <v>4</v>
      </c>
      <c r="L89" s="20" t="s">
        <v>3</v>
      </c>
      <c r="M89" s="20" t="s">
        <v>2</v>
      </c>
      <c r="N89" s="11" t="s">
        <v>17</v>
      </c>
      <c r="O89" s="4">
        <v>8</v>
      </c>
    </row>
    <row r="90" spans="1:15" s="5" customFormat="1" ht="50.1" customHeight="1">
      <c r="A90" s="2">
        <v>86</v>
      </c>
      <c r="B90" s="12">
        <v>2544640763</v>
      </c>
      <c r="C90" s="21">
        <v>250371553121</v>
      </c>
      <c r="D90" s="22" t="s">
        <v>1446</v>
      </c>
      <c r="E90" s="12" t="s">
        <v>30</v>
      </c>
      <c r="F90" s="20" t="s">
        <v>15</v>
      </c>
      <c r="G90" s="19" t="s">
        <v>34</v>
      </c>
      <c r="H90" s="20" t="s">
        <v>3</v>
      </c>
      <c r="I90" s="20" t="s">
        <v>8</v>
      </c>
      <c r="J90" s="20" t="s">
        <v>8</v>
      </c>
      <c r="K90" s="20" t="s">
        <v>2</v>
      </c>
      <c r="L90" s="20" t="s">
        <v>2</v>
      </c>
      <c r="M90" s="20" t="s">
        <v>3</v>
      </c>
      <c r="N90" s="11" t="s">
        <v>17</v>
      </c>
      <c r="O90" s="4">
        <v>9.1666666666666661</v>
      </c>
    </row>
    <row r="91" spans="1:15" s="5" customFormat="1" ht="50.1" customHeight="1">
      <c r="A91" s="2">
        <v>87</v>
      </c>
      <c r="B91" s="12">
        <v>2544640861</v>
      </c>
      <c r="C91" s="21">
        <v>250371553122</v>
      </c>
      <c r="D91" s="22" t="s">
        <v>1447</v>
      </c>
      <c r="E91" s="12" t="s">
        <v>30</v>
      </c>
      <c r="F91" s="20" t="s">
        <v>15</v>
      </c>
      <c r="G91" s="19" t="s">
        <v>34</v>
      </c>
      <c r="H91" s="20" t="s">
        <v>4</v>
      </c>
      <c r="I91" s="20" t="s">
        <v>8</v>
      </c>
      <c r="J91" s="20" t="s">
        <v>2</v>
      </c>
      <c r="K91" s="20" t="s">
        <v>2</v>
      </c>
      <c r="L91" s="20" t="s">
        <v>2</v>
      </c>
      <c r="M91" s="20" t="s">
        <v>8</v>
      </c>
      <c r="N91" s="11" t="s">
        <v>17</v>
      </c>
      <c r="O91" s="4">
        <v>8.8888888888888893</v>
      </c>
    </row>
    <row r="92" spans="1:15" s="5" customFormat="1" ht="50.1" customHeight="1">
      <c r="A92" s="2">
        <v>88</v>
      </c>
      <c r="B92" s="12">
        <v>2544640245</v>
      </c>
      <c r="C92" s="21">
        <v>250371553123</v>
      </c>
      <c r="D92" s="22" t="s">
        <v>1448</v>
      </c>
      <c r="E92" s="12" t="s">
        <v>30</v>
      </c>
      <c r="F92" s="20" t="s">
        <v>15</v>
      </c>
      <c r="G92" s="19" t="s">
        <v>34</v>
      </c>
      <c r="H92" s="20" t="s">
        <v>3</v>
      </c>
      <c r="I92" s="20" t="s">
        <v>2</v>
      </c>
      <c r="J92" s="20" t="s">
        <v>3</v>
      </c>
      <c r="K92" s="20" t="s">
        <v>4</v>
      </c>
      <c r="L92" s="20" t="s">
        <v>4</v>
      </c>
      <c r="M92" s="20" t="s">
        <v>3</v>
      </c>
      <c r="N92" s="11" t="s">
        <v>17</v>
      </c>
      <c r="O92" s="4">
        <v>7.7777777777777777</v>
      </c>
    </row>
    <row r="93" spans="1:15" s="5" customFormat="1" ht="50.1" customHeight="1">
      <c r="A93" s="2">
        <v>89</v>
      </c>
      <c r="B93" s="12">
        <v>2544640338</v>
      </c>
      <c r="C93" s="21">
        <v>250371553124</v>
      </c>
      <c r="D93" s="22" t="s">
        <v>1449</v>
      </c>
      <c r="E93" s="12" t="s">
        <v>30</v>
      </c>
      <c r="F93" s="20" t="s">
        <v>15</v>
      </c>
      <c r="G93" s="19" t="s">
        <v>34</v>
      </c>
      <c r="H93" s="20" t="s">
        <v>3</v>
      </c>
      <c r="I93" s="20" t="s">
        <v>2</v>
      </c>
      <c r="J93" s="20" t="s">
        <v>3</v>
      </c>
      <c r="K93" s="20" t="s">
        <v>3</v>
      </c>
      <c r="L93" s="20" t="s">
        <v>3</v>
      </c>
      <c r="M93" s="20" t="s">
        <v>3</v>
      </c>
      <c r="N93" s="11" t="s">
        <v>17</v>
      </c>
      <c r="O93" s="4">
        <v>8.1666666666666661</v>
      </c>
    </row>
    <row r="94" spans="1:15" s="5" customFormat="1" ht="50.1" customHeight="1">
      <c r="A94" s="2">
        <v>90</v>
      </c>
      <c r="B94" s="12">
        <v>2544640491</v>
      </c>
      <c r="C94" s="21">
        <v>250371553126</v>
      </c>
      <c r="D94" s="22" t="s">
        <v>1450</v>
      </c>
      <c r="E94" s="12" t="s">
        <v>30</v>
      </c>
      <c r="F94" s="20" t="s">
        <v>15</v>
      </c>
      <c r="G94" s="19" t="s">
        <v>34</v>
      </c>
      <c r="H94" s="20" t="s">
        <v>3</v>
      </c>
      <c r="I94" s="20" t="s">
        <v>4</v>
      </c>
      <c r="J94" s="20" t="s">
        <v>4</v>
      </c>
      <c r="K94" s="20" t="s">
        <v>3</v>
      </c>
      <c r="L94" s="20" t="s">
        <v>2</v>
      </c>
      <c r="M94" s="20" t="s">
        <v>2</v>
      </c>
      <c r="N94" s="11" t="s">
        <v>17</v>
      </c>
      <c r="O94" s="4">
        <v>7.8888888888888893</v>
      </c>
    </row>
    <row r="95" spans="1:15" s="5" customFormat="1" ht="50.1" customHeight="1">
      <c r="A95" s="2">
        <v>91</v>
      </c>
      <c r="B95" s="12">
        <v>2544640233</v>
      </c>
      <c r="C95" s="21">
        <v>250371553127</v>
      </c>
      <c r="D95" s="22" t="s">
        <v>1451</v>
      </c>
      <c r="E95" s="12" t="s">
        <v>30</v>
      </c>
      <c r="F95" s="20" t="s">
        <v>15</v>
      </c>
      <c r="G95" s="19" t="s">
        <v>34</v>
      </c>
      <c r="H95" s="20" t="s">
        <v>3</v>
      </c>
      <c r="I95" s="20" t="s">
        <v>8</v>
      </c>
      <c r="J95" s="20" t="s">
        <v>3</v>
      </c>
      <c r="K95" s="20" t="s">
        <v>3</v>
      </c>
      <c r="L95" s="20" t="s">
        <v>4</v>
      </c>
      <c r="M95" s="20" t="s">
        <v>2</v>
      </c>
      <c r="N95" s="11" t="s">
        <v>17</v>
      </c>
      <c r="O95" s="4">
        <v>8.17</v>
      </c>
    </row>
    <row r="96" spans="1:15" s="5" customFormat="1" ht="50.1" customHeight="1">
      <c r="A96" s="2">
        <v>92</v>
      </c>
      <c r="B96" s="12">
        <v>2544640447</v>
      </c>
      <c r="C96" s="21">
        <v>250371553128</v>
      </c>
      <c r="D96" s="22" t="s">
        <v>1452</v>
      </c>
      <c r="E96" s="12" t="s">
        <v>30</v>
      </c>
      <c r="F96" s="20" t="s">
        <v>15</v>
      </c>
      <c r="G96" s="19" t="s">
        <v>34</v>
      </c>
      <c r="H96" s="20" t="s">
        <v>5</v>
      </c>
      <c r="I96" s="20" t="s">
        <v>3</v>
      </c>
      <c r="J96" s="20" t="s">
        <v>4</v>
      </c>
      <c r="K96" s="20" t="s">
        <v>4</v>
      </c>
      <c r="L96" s="20" t="s">
        <v>3</v>
      </c>
      <c r="M96" s="20" t="s">
        <v>3</v>
      </c>
      <c r="N96" s="11" t="s">
        <v>17</v>
      </c>
      <c r="O96" s="4">
        <v>7.2777777777777777</v>
      </c>
    </row>
    <row r="97" spans="1:15" s="5" customFormat="1" ht="50.1" customHeight="1">
      <c r="A97" s="2">
        <v>93</v>
      </c>
      <c r="B97" s="12">
        <v>2544640206</v>
      </c>
      <c r="C97" s="21">
        <v>250371553133</v>
      </c>
      <c r="D97" s="22" t="s">
        <v>1453</v>
      </c>
      <c r="E97" s="12" t="s">
        <v>30</v>
      </c>
      <c r="F97" s="20" t="s">
        <v>15</v>
      </c>
      <c r="G97" s="19" t="s">
        <v>34</v>
      </c>
      <c r="H97" s="20" t="s">
        <v>3</v>
      </c>
      <c r="I97" s="20" t="s">
        <v>8</v>
      </c>
      <c r="J97" s="20" t="s">
        <v>3</v>
      </c>
      <c r="K97" s="20" t="s">
        <v>2</v>
      </c>
      <c r="L97" s="20" t="s">
        <v>3</v>
      </c>
      <c r="M97" s="20" t="s">
        <v>2</v>
      </c>
      <c r="N97" s="11" t="s">
        <v>17</v>
      </c>
      <c r="O97" s="4">
        <v>8.5555555555555554</v>
      </c>
    </row>
    <row r="98" spans="1:15" s="5" customFormat="1" ht="50.1" customHeight="1">
      <c r="A98" s="2">
        <v>94</v>
      </c>
      <c r="B98" s="12">
        <v>2544640801</v>
      </c>
      <c r="C98" s="21">
        <v>250371553136</v>
      </c>
      <c r="D98" s="22" t="s">
        <v>1454</v>
      </c>
      <c r="E98" s="12" t="s">
        <v>30</v>
      </c>
      <c r="F98" s="20" t="s">
        <v>15</v>
      </c>
      <c r="G98" s="19" t="s">
        <v>34</v>
      </c>
      <c r="H98" s="20" t="s">
        <v>3</v>
      </c>
      <c r="I98" s="20" t="s">
        <v>8</v>
      </c>
      <c r="J98" s="20" t="s">
        <v>8</v>
      </c>
      <c r="K98" s="20" t="s">
        <v>8</v>
      </c>
      <c r="L98" s="20" t="s">
        <v>8</v>
      </c>
      <c r="M98" s="20" t="s">
        <v>2</v>
      </c>
      <c r="N98" s="11" t="s">
        <v>17</v>
      </c>
      <c r="O98" s="4">
        <v>9.6111111111111107</v>
      </c>
    </row>
    <row r="99" spans="1:15" s="5" customFormat="1" ht="50.1" customHeight="1">
      <c r="A99" s="2">
        <v>95</v>
      </c>
      <c r="B99" s="12">
        <v>2544640516</v>
      </c>
      <c r="C99" s="21">
        <v>250371553137</v>
      </c>
      <c r="D99" s="22" t="s">
        <v>1455</v>
      </c>
      <c r="E99" s="12" t="s">
        <v>30</v>
      </c>
      <c r="F99" s="20" t="s">
        <v>15</v>
      </c>
      <c r="G99" s="19" t="s">
        <v>34</v>
      </c>
      <c r="H99" s="20" t="s">
        <v>2</v>
      </c>
      <c r="I99" s="20" t="s">
        <v>8</v>
      </c>
      <c r="J99" s="20" t="s">
        <v>2</v>
      </c>
      <c r="K99" s="20" t="s">
        <v>2</v>
      </c>
      <c r="L99" s="20" t="s">
        <v>11</v>
      </c>
      <c r="M99" s="20" t="s">
        <v>8</v>
      </c>
      <c r="N99" s="11" t="s">
        <v>17</v>
      </c>
      <c r="O99" s="4">
        <v>8.1111111111111107</v>
      </c>
    </row>
    <row r="100" spans="1:15" s="5" customFormat="1" ht="50.1" customHeight="1">
      <c r="A100" s="2">
        <v>96</v>
      </c>
      <c r="B100" s="12">
        <v>2544640832</v>
      </c>
      <c r="C100" s="21">
        <v>250371553138</v>
      </c>
      <c r="D100" s="22" t="s">
        <v>1456</v>
      </c>
      <c r="E100" s="12" t="s">
        <v>30</v>
      </c>
      <c r="F100" s="20" t="s">
        <v>15</v>
      </c>
      <c r="G100" s="19" t="s">
        <v>34</v>
      </c>
      <c r="H100" s="20" t="s">
        <v>3</v>
      </c>
      <c r="I100" s="20" t="s">
        <v>8</v>
      </c>
      <c r="J100" s="20" t="s">
        <v>2</v>
      </c>
      <c r="K100" s="20" t="s">
        <v>8</v>
      </c>
      <c r="L100" s="20" t="s">
        <v>2</v>
      </c>
      <c r="M100" s="20" t="s">
        <v>8</v>
      </c>
      <c r="N100" s="11" t="s">
        <v>17</v>
      </c>
      <c r="O100" s="4">
        <v>9.2222222222222214</v>
      </c>
    </row>
    <row r="101" spans="1:15" s="5" customFormat="1" ht="50.1" customHeight="1">
      <c r="A101" s="2">
        <v>97</v>
      </c>
      <c r="B101" s="12">
        <v>2544640007</v>
      </c>
      <c r="C101" s="21">
        <v>250371553141</v>
      </c>
      <c r="D101" s="22" t="s">
        <v>1457</v>
      </c>
      <c r="E101" s="12" t="s">
        <v>30</v>
      </c>
      <c r="F101" s="20" t="s">
        <v>15</v>
      </c>
      <c r="G101" s="19" t="s">
        <v>34</v>
      </c>
      <c r="H101" s="20" t="s">
        <v>4</v>
      </c>
      <c r="I101" s="20" t="s">
        <v>11</v>
      </c>
      <c r="J101" s="20" t="s">
        <v>3</v>
      </c>
      <c r="K101" s="20" t="s">
        <v>3</v>
      </c>
      <c r="L101" s="20" t="s">
        <v>8</v>
      </c>
      <c r="M101" s="20" t="s">
        <v>3</v>
      </c>
      <c r="N101" s="11" t="s">
        <v>17</v>
      </c>
      <c r="O101" s="4">
        <v>7.6111111111111107</v>
      </c>
    </row>
    <row r="102" spans="1:15" s="5" customFormat="1" ht="50.1" customHeight="1">
      <c r="A102" s="2">
        <v>98</v>
      </c>
      <c r="B102" s="12">
        <v>2544640584</v>
      </c>
      <c r="C102" s="21">
        <v>250371553142</v>
      </c>
      <c r="D102" s="22" t="s">
        <v>1458</v>
      </c>
      <c r="E102" s="12" t="s">
        <v>30</v>
      </c>
      <c r="F102" s="20" t="s">
        <v>15</v>
      </c>
      <c r="G102" s="19" t="s">
        <v>34</v>
      </c>
      <c r="H102" s="20" t="s">
        <v>3</v>
      </c>
      <c r="I102" s="20" t="s">
        <v>8</v>
      </c>
      <c r="J102" s="20" t="s">
        <v>8</v>
      </c>
      <c r="K102" s="20" t="s">
        <v>8</v>
      </c>
      <c r="L102" s="20" t="s">
        <v>8</v>
      </c>
      <c r="M102" s="20" t="s">
        <v>2</v>
      </c>
      <c r="N102" s="11" t="s">
        <v>17</v>
      </c>
      <c r="O102" s="4">
        <v>9.6111111111111107</v>
      </c>
    </row>
    <row r="103" spans="1:15" s="5" customFormat="1" ht="50.1" customHeight="1">
      <c r="A103" s="2">
        <v>99</v>
      </c>
      <c r="B103" s="12">
        <v>2544640472</v>
      </c>
      <c r="C103" s="21">
        <v>250371553143</v>
      </c>
      <c r="D103" s="22" t="s">
        <v>1459</v>
      </c>
      <c r="E103" s="12" t="s">
        <v>30</v>
      </c>
      <c r="F103" s="20" t="s">
        <v>15</v>
      </c>
      <c r="G103" s="19" t="s">
        <v>34</v>
      </c>
      <c r="H103" s="20" t="s">
        <v>2</v>
      </c>
      <c r="I103" s="20" t="s">
        <v>8</v>
      </c>
      <c r="J103" s="20" t="s">
        <v>8</v>
      </c>
      <c r="K103" s="20" t="s">
        <v>8</v>
      </c>
      <c r="L103" s="20" t="s">
        <v>6</v>
      </c>
      <c r="M103" s="20" t="s">
        <v>8</v>
      </c>
      <c r="N103" s="11" t="s">
        <v>17</v>
      </c>
      <c r="O103" s="4">
        <v>8.7222222222222214</v>
      </c>
    </row>
    <row r="104" spans="1:15" s="5" customFormat="1" ht="50.1" customHeight="1">
      <c r="A104" s="2">
        <v>100</v>
      </c>
      <c r="B104" s="12">
        <v>2544640989</v>
      </c>
      <c r="C104" s="21">
        <v>250371553145</v>
      </c>
      <c r="D104" s="22" t="s">
        <v>1460</v>
      </c>
      <c r="E104" s="12" t="s">
        <v>30</v>
      </c>
      <c r="F104" s="20" t="s">
        <v>15</v>
      </c>
      <c r="G104" s="19" t="s">
        <v>34</v>
      </c>
      <c r="H104" s="20" t="s">
        <v>2</v>
      </c>
      <c r="I104" s="20" t="s">
        <v>8</v>
      </c>
      <c r="J104" s="20" t="s">
        <v>2</v>
      </c>
      <c r="K104" s="20" t="s">
        <v>2</v>
      </c>
      <c r="L104" s="20" t="s">
        <v>8</v>
      </c>
      <c r="M104" s="20" t="s">
        <v>8</v>
      </c>
      <c r="N104" s="11" t="s">
        <v>17</v>
      </c>
      <c r="O104" s="4">
        <v>9.4444444444444446</v>
      </c>
    </row>
    <row r="105" spans="1:15" s="5" customFormat="1" ht="50.1" customHeight="1">
      <c r="A105" s="2">
        <v>101</v>
      </c>
      <c r="B105" s="12">
        <v>2544641110</v>
      </c>
      <c r="C105" s="21">
        <v>250371553146</v>
      </c>
      <c r="D105" s="22" t="s">
        <v>1461</v>
      </c>
      <c r="E105" s="12" t="s">
        <v>30</v>
      </c>
      <c r="F105" s="20" t="s">
        <v>15</v>
      </c>
      <c r="G105" s="19" t="s">
        <v>34</v>
      </c>
      <c r="H105" s="20" t="s">
        <v>4</v>
      </c>
      <c r="I105" s="20" t="s">
        <v>5</v>
      </c>
      <c r="J105" s="20" t="s">
        <v>4</v>
      </c>
      <c r="K105" s="20" t="s">
        <v>4</v>
      </c>
      <c r="L105" s="20" t="s">
        <v>4</v>
      </c>
      <c r="M105" s="20" t="s">
        <v>3</v>
      </c>
      <c r="N105" s="11" t="s">
        <v>17</v>
      </c>
      <c r="O105" s="4">
        <v>6.8888888888888893</v>
      </c>
    </row>
    <row r="106" spans="1:15" s="5" customFormat="1" ht="50.1" customHeight="1">
      <c r="A106" s="2">
        <v>102</v>
      </c>
      <c r="B106" s="12">
        <v>2544640444</v>
      </c>
      <c r="C106" s="21">
        <v>250371553147</v>
      </c>
      <c r="D106" s="22" t="s">
        <v>1462</v>
      </c>
      <c r="E106" s="12" t="s">
        <v>30</v>
      </c>
      <c r="F106" s="20" t="s">
        <v>15</v>
      </c>
      <c r="G106" s="19" t="s">
        <v>34</v>
      </c>
      <c r="H106" s="20" t="s">
        <v>3</v>
      </c>
      <c r="I106" s="20" t="s">
        <v>6</v>
      </c>
      <c r="J106" s="20" t="s">
        <v>4</v>
      </c>
      <c r="K106" s="20" t="s">
        <v>4</v>
      </c>
      <c r="L106" s="20" t="s">
        <v>3</v>
      </c>
      <c r="M106" s="20" t="s">
        <v>5</v>
      </c>
      <c r="N106" s="11" t="s">
        <v>17</v>
      </c>
      <c r="O106" s="4">
        <v>7</v>
      </c>
    </row>
    <row r="107" spans="1:15" s="5" customFormat="1" ht="50.1" hidden="1" customHeight="1">
      <c r="A107" s="2">
        <v>103</v>
      </c>
      <c r="B107" s="12">
        <v>2544640542</v>
      </c>
      <c r="C107" s="21">
        <v>250371553148</v>
      </c>
      <c r="D107" s="22" t="s">
        <v>1463</v>
      </c>
      <c r="E107" s="12" t="s">
        <v>30</v>
      </c>
      <c r="F107" s="20" t="s">
        <v>15</v>
      </c>
      <c r="G107" s="19" t="s">
        <v>34</v>
      </c>
      <c r="H107" s="20" t="s">
        <v>4</v>
      </c>
      <c r="I107" s="20" t="s">
        <v>4</v>
      </c>
      <c r="J107" s="20" t="s">
        <v>4</v>
      </c>
      <c r="K107" s="20" t="s">
        <v>4</v>
      </c>
      <c r="L107" s="20" t="s">
        <v>7</v>
      </c>
      <c r="M107" s="20" t="s">
        <v>4</v>
      </c>
      <c r="N107" s="11" t="s">
        <v>7</v>
      </c>
      <c r="O107" s="4">
        <v>0</v>
      </c>
    </row>
    <row r="108" spans="1:15" s="5" customFormat="1" ht="50.1" customHeight="1">
      <c r="A108" s="2">
        <v>104</v>
      </c>
      <c r="B108" s="12">
        <v>2544640755</v>
      </c>
      <c r="C108" s="21">
        <v>250371553149</v>
      </c>
      <c r="D108" s="22" t="s">
        <v>1464</v>
      </c>
      <c r="E108" s="12" t="s">
        <v>30</v>
      </c>
      <c r="F108" s="20" t="s">
        <v>15</v>
      </c>
      <c r="G108" s="19" t="s">
        <v>34</v>
      </c>
      <c r="H108" s="20" t="s">
        <v>4</v>
      </c>
      <c r="I108" s="20" t="s">
        <v>5</v>
      </c>
      <c r="J108" s="20" t="s">
        <v>3</v>
      </c>
      <c r="K108" s="20" t="s">
        <v>4</v>
      </c>
      <c r="L108" s="20" t="s">
        <v>2</v>
      </c>
      <c r="M108" s="20" t="s">
        <v>6</v>
      </c>
      <c r="N108" s="11" t="s">
        <v>17</v>
      </c>
      <c r="O108" s="4">
        <v>7.3888888888888893</v>
      </c>
    </row>
    <row r="109" spans="1:15" s="5" customFormat="1" ht="50.1" customHeight="1">
      <c r="A109" s="2">
        <v>105</v>
      </c>
      <c r="B109" s="12">
        <v>2544640813</v>
      </c>
      <c r="C109" s="21">
        <v>250371553151</v>
      </c>
      <c r="D109" s="22" t="s">
        <v>1465</v>
      </c>
      <c r="E109" s="12" t="s">
        <v>30</v>
      </c>
      <c r="F109" s="20" t="s">
        <v>15</v>
      </c>
      <c r="G109" s="19" t="s">
        <v>34</v>
      </c>
      <c r="H109" s="20" t="s">
        <v>3</v>
      </c>
      <c r="I109" s="20" t="s">
        <v>8</v>
      </c>
      <c r="J109" s="20" t="s">
        <v>2</v>
      </c>
      <c r="K109" s="20" t="s">
        <v>2</v>
      </c>
      <c r="L109" s="20" t="s">
        <v>2</v>
      </c>
      <c r="M109" s="20" t="s">
        <v>2</v>
      </c>
      <c r="N109" s="11" t="s">
        <v>17</v>
      </c>
      <c r="O109" s="4">
        <v>9</v>
      </c>
    </row>
    <row r="110" spans="1:15" s="5" customFormat="1" ht="50.1" customHeight="1">
      <c r="A110" s="2">
        <v>106</v>
      </c>
      <c r="B110" s="12">
        <v>2544640744</v>
      </c>
      <c r="C110" s="21">
        <v>250371553152</v>
      </c>
      <c r="D110" s="22" t="s">
        <v>1466</v>
      </c>
      <c r="E110" s="12" t="s">
        <v>30</v>
      </c>
      <c r="F110" s="20" t="s">
        <v>15</v>
      </c>
      <c r="G110" s="19" t="s">
        <v>34</v>
      </c>
      <c r="H110" s="20" t="s">
        <v>4</v>
      </c>
      <c r="I110" s="20" t="s">
        <v>2</v>
      </c>
      <c r="J110" s="20" t="s">
        <v>4</v>
      </c>
      <c r="K110" s="20" t="s">
        <v>2</v>
      </c>
      <c r="L110" s="20" t="s">
        <v>3</v>
      </c>
      <c r="M110" s="20" t="s">
        <v>3</v>
      </c>
      <c r="N110" s="11" t="s">
        <v>17</v>
      </c>
      <c r="O110" s="4">
        <v>7.9444444444444446</v>
      </c>
    </row>
    <row r="111" spans="1:15" s="5" customFormat="1" ht="50.1" customHeight="1">
      <c r="A111" s="2">
        <v>107</v>
      </c>
      <c r="B111" s="12">
        <v>2544640467</v>
      </c>
      <c r="C111" s="21">
        <v>250371553153</v>
      </c>
      <c r="D111" s="22" t="s">
        <v>1467</v>
      </c>
      <c r="E111" s="12" t="s">
        <v>30</v>
      </c>
      <c r="F111" s="20" t="s">
        <v>15</v>
      </c>
      <c r="G111" s="19" t="s">
        <v>34</v>
      </c>
      <c r="H111" s="20" t="s">
        <v>3</v>
      </c>
      <c r="I111" s="20" t="s">
        <v>2</v>
      </c>
      <c r="J111" s="20" t="s">
        <v>5</v>
      </c>
      <c r="K111" s="20" t="s">
        <v>2</v>
      </c>
      <c r="L111" s="20" t="s">
        <v>3</v>
      </c>
      <c r="M111" s="20" t="s">
        <v>4</v>
      </c>
      <c r="N111" s="11" t="s">
        <v>17</v>
      </c>
      <c r="O111" s="4">
        <v>7.833333333333333</v>
      </c>
    </row>
    <row r="112" spans="1:15" s="5" customFormat="1" ht="50.1" customHeight="1">
      <c r="A112" s="2">
        <v>108</v>
      </c>
      <c r="B112" s="12">
        <v>2544640060</v>
      </c>
      <c r="C112" s="21">
        <v>250371553154</v>
      </c>
      <c r="D112" s="22" t="s">
        <v>1468</v>
      </c>
      <c r="E112" s="12" t="s">
        <v>30</v>
      </c>
      <c r="F112" s="20" t="s">
        <v>15</v>
      </c>
      <c r="G112" s="19" t="s">
        <v>34</v>
      </c>
      <c r="H112" s="20" t="s">
        <v>4</v>
      </c>
      <c r="I112" s="20" t="s">
        <v>2</v>
      </c>
      <c r="J112" s="20" t="s">
        <v>4</v>
      </c>
      <c r="K112" s="20" t="s">
        <v>2</v>
      </c>
      <c r="L112" s="20" t="s">
        <v>3</v>
      </c>
      <c r="M112" s="20" t="s">
        <v>2</v>
      </c>
      <c r="N112" s="11" t="s">
        <v>17</v>
      </c>
      <c r="O112" s="4">
        <v>8</v>
      </c>
    </row>
  </sheetData>
  <autoFilter ref="A3:O112">
    <filterColumn colId="6"/>
    <filterColumn colId="10"/>
    <filterColumn colId="11"/>
    <filterColumn colId="12"/>
    <filterColumn colId="13">
      <filters>
        <filter val="PASS"/>
      </filters>
    </filterColumn>
  </autoFilter>
  <mergeCells count="10">
    <mergeCell ref="A2:O2"/>
    <mergeCell ref="A1:O1"/>
    <mergeCell ref="G3:G4"/>
    <mergeCell ref="O3:O4"/>
    <mergeCell ref="A3:A4"/>
    <mergeCell ref="B3:B4"/>
    <mergeCell ref="C3:C4"/>
    <mergeCell ref="D3:D4"/>
    <mergeCell ref="E3:E4"/>
    <mergeCell ref="F3:F4"/>
  </mergeCells>
  <printOptions horizontalCentered="1"/>
  <pageMargins left="0.4" right="0.32" top="0.53" bottom="0.59" header="0.3" footer="0.3"/>
  <pageSetup paperSize="8" scale="80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>
  <sheetPr filterMode="1"/>
  <dimension ref="A1:O51"/>
  <sheetViews>
    <sheetView topLeftCell="A42" workbookViewId="0">
      <selection activeCell="L39" sqref="L39"/>
    </sheetView>
  </sheetViews>
  <sheetFormatPr defaultRowHeight="15"/>
  <cols>
    <col min="1" max="1" width="6.5703125" style="6" bestFit="1" customWidth="1"/>
    <col min="2" max="2" width="16.28515625" style="6" customWidth="1"/>
    <col min="3" max="3" width="18.28515625" style="6" bestFit="1" customWidth="1"/>
    <col min="4" max="4" width="35.7109375" style="6" customWidth="1"/>
    <col min="5" max="5" width="9.42578125" style="32" customWidth="1"/>
    <col min="6" max="6" width="14.7109375" style="32" customWidth="1"/>
    <col min="7" max="7" width="13" style="6" customWidth="1"/>
    <col min="8" max="8" width="11.140625" style="6" customWidth="1"/>
    <col min="9" max="9" width="18.5703125" style="6" customWidth="1"/>
    <col min="10" max="10" width="18.85546875" style="6" customWidth="1"/>
    <col min="11" max="14" width="17.85546875" style="6" customWidth="1"/>
    <col min="15" max="15" width="12" style="7" customWidth="1"/>
    <col min="16" max="16384" width="9.140625" style="6"/>
  </cols>
  <sheetData>
    <row r="1" spans="1:15" s="31" customFormat="1" ht="35.25" customHeight="1">
      <c r="A1" s="58" t="s">
        <v>1519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</row>
    <row r="2" spans="1:15" s="5" customFormat="1" ht="35.25" customHeight="1">
      <c r="A2" s="57" t="s">
        <v>1518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</row>
    <row r="3" spans="1:15" s="8" customFormat="1" ht="94.5" customHeight="1">
      <c r="A3" s="53" t="s">
        <v>1</v>
      </c>
      <c r="B3" s="53" t="s">
        <v>16</v>
      </c>
      <c r="C3" s="53" t="s">
        <v>12</v>
      </c>
      <c r="D3" s="53" t="s">
        <v>13</v>
      </c>
      <c r="E3" s="53" t="s">
        <v>14</v>
      </c>
      <c r="F3" s="53" t="s">
        <v>0</v>
      </c>
      <c r="G3" s="53" t="s">
        <v>31</v>
      </c>
      <c r="H3" s="1" t="s">
        <v>78</v>
      </c>
      <c r="I3" s="1" t="s">
        <v>83</v>
      </c>
      <c r="J3" s="1" t="s">
        <v>80</v>
      </c>
      <c r="K3" s="1" t="s">
        <v>391</v>
      </c>
      <c r="L3" s="1" t="s">
        <v>1360</v>
      </c>
      <c r="M3" s="1" t="s">
        <v>393</v>
      </c>
      <c r="N3" s="1" t="s">
        <v>10</v>
      </c>
      <c r="O3" s="55" t="s">
        <v>9</v>
      </c>
    </row>
    <row r="4" spans="1:15" s="8" customFormat="1" ht="34.5" hidden="1" customHeight="1">
      <c r="A4" s="54"/>
      <c r="B4" s="54"/>
      <c r="C4" s="54"/>
      <c r="D4" s="54"/>
      <c r="E4" s="54"/>
      <c r="F4" s="54"/>
      <c r="G4" s="54"/>
      <c r="H4" s="10">
        <v>3</v>
      </c>
      <c r="I4" s="10">
        <v>3</v>
      </c>
      <c r="J4" s="10">
        <v>4</v>
      </c>
      <c r="K4" s="10">
        <v>3</v>
      </c>
      <c r="L4" s="10">
        <v>4</v>
      </c>
      <c r="M4" s="10">
        <v>1</v>
      </c>
      <c r="N4" s="10">
        <f>SUM(H4:M4)</f>
        <v>18</v>
      </c>
      <c r="O4" s="56"/>
    </row>
    <row r="5" spans="1:15" s="5" customFormat="1" ht="42" customHeight="1">
      <c r="A5" s="2">
        <v>1</v>
      </c>
      <c r="B5" s="12">
        <v>2544640457</v>
      </c>
      <c r="C5" s="21">
        <v>250371553003</v>
      </c>
      <c r="D5" s="22" t="s">
        <v>1469</v>
      </c>
      <c r="E5" s="12" t="s">
        <v>30</v>
      </c>
      <c r="F5" s="20" t="s">
        <v>15</v>
      </c>
      <c r="G5" s="19" t="s">
        <v>85</v>
      </c>
      <c r="H5" s="20" t="s">
        <v>6</v>
      </c>
      <c r="I5" s="20" t="s">
        <v>3</v>
      </c>
      <c r="J5" s="20" t="s">
        <v>5</v>
      </c>
      <c r="K5" s="20" t="s">
        <v>5</v>
      </c>
      <c r="L5" s="20" t="s">
        <v>4</v>
      </c>
      <c r="M5" s="20" t="s">
        <v>6</v>
      </c>
      <c r="N5" s="11" t="s">
        <v>17</v>
      </c>
      <c r="O5" s="4">
        <v>6.333333333333333</v>
      </c>
    </row>
    <row r="6" spans="1:15" s="5" customFormat="1" ht="42" customHeight="1">
      <c r="A6" s="2">
        <v>2</v>
      </c>
      <c r="B6" s="12">
        <v>2544640008</v>
      </c>
      <c r="C6" s="21">
        <v>250371553004</v>
      </c>
      <c r="D6" s="22" t="s">
        <v>1470</v>
      </c>
      <c r="E6" s="12" t="s">
        <v>30</v>
      </c>
      <c r="F6" s="20" t="s">
        <v>15</v>
      </c>
      <c r="G6" s="19" t="s">
        <v>85</v>
      </c>
      <c r="H6" s="20" t="s">
        <v>2</v>
      </c>
      <c r="I6" s="20" t="s">
        <v>2</v>
      </c>
      <c r="J6" s="20" t="s">
        <v>8</v>
      </c>
      <c r="K6" s="20" t="s">
        <v>8</v>
      </c>
      <c r="L6" s="20" t="s">
        <v>4</v>
      </c>
      <c r="M6" s="20" t="s">
        <v>8</v>
      </c>
      <c r="N6" s="11" t="s">
        <v>17</v>
      </c>
      <c r="O6" s="4">
        <v>9</v>
      </c>
    </row>
    <row r="7" spans="1:15" s="5" customFormat="1" ht="42" hidden="1" customHeight="1">
      <c r="A7" s="2">
        <v>3</v>
      </c>
      <c r="B7" s="12">
        <v>2544640404</v>
      </c>
      <c r="C7" s="21">
        <v>250371553006</v>
      </c>
      <c r="D7" s="22" t="s">
        <v>1471</v>
      </c>
      <c r="E7" s="12" t="s">
        <v>30</v>
      </c>
      <c r="F7" s="20" t="s">
        <v>15</v>
      </c>
      <c r="G7" s="19" t="s">
        <v>85</v>
      </c>
      <c r="H7" s="20" t="s">
        <v>2</v>
      </c>
      <c r="I7" s="20" t="s">
        <v>1517</v>
      </c>
      <c r="J7" s="20" t="s">
        <v>3</v>
      </c>
      <c r="K7" s="20" t="s">
        <v>5</v>
      </c>
      <c r="L7" s="20" t="s">
        <v>6</v>
      </c>
      <c r="M7" s="20" t="s">
        <v>4</v>
      </c>
      <c r="N7" s="11" t="s">
        <v>1517</v>
      </c>
      <c r="O7" s="4">
        <v>0</v>
      </c>
    </row>
    <row r="8" spans="1:15" s="5" customFormat="1" ht="42" customHeight="1">
      <c r="A8" s="2">
        <v>4</v>
      </c>
      <c r="B8" s="12">
        <v>2544640278</v>
      </c>
      <c r="C8" s="21">
        <v>250371553008</v>
      </c>
      <c r="D8" s="22" t="s">
        <v>1472</v>
      </c>
      <c r="E8" s="12" t="s">
        <v>30</v>
      </c>
      <c r="F8" s="20" t="s">
        <v>15</v>
      </c>
      <c r="G8" s="19" t="s">
        <v>85</v>
      </c>
      <c r="H8" s="20" t="s">
        <v>5</v>
      </c>
      <c r="I8" s="20" t="s">
        <v>4</v>
      </c>
      <c r="J8" s="20" t="s">
        <v>4</v>
      </c>
      <c r="K8" s="20" t="s">
        <v>4</v>
      </c>
      <c r="L8" s="20" t="s">
        <v>4</v>
      </c>
      <c r="M8" s="20" t="s">
        <v>2</v>
      </c>
      <c r="N8" s="11" t="s">
        <v>17</v>
      </c>
      <c r="O8" s="4">
        <v>6.9444444444444446</v>
      </c>
    </row>
    <row r="9" spans="1:15" s="5" customFormat="1" ht="42" customHeight="1">
      <c r="A9" s="2">
        <v>5</v>
      </c>
      <c r="B9" s="12">
        <v>2544641083</v>
      </c>
      <c r="C9" s="21">
        <v>250371553016</v>
      </c>
      <c r="D9" s="22" t="s">
        <v>1473</v>
      </c>
      <c r="E9" s="12" t="s">
        <v>30</v>
      </c>
      <c r="F9" s="20" t="s">
        <v>15</v>
      </c>
      <c r="G9" s="19" t="s">
        <v>85</v>
      </c>
      <c r="H9" s="20" t="s">
        <v>3</v>
      </c>
      <c r="I9" s="20" t="s">
        <v>2</v>
      </c>
      <c r="J9" s="20" t="s">
        <v>2</v>
      </c>
      <c r="K9" s="20" t="s">
        <v>2</v>
      </c>
      <c r="L9" s="20" t="s">
        <v>8</v>
      </c>
      <c r="M9" s="20" t="s">
        <v>8</v>
      </c>
      <c r="N9" s="11" t="s">
        <v>17</v>
      </c>
      <c r="O9" s="4">
        <v>9.1111111111111107</v>
      </c>
    </row>
    <row r="10" spans="1:15" s="5" customFormat="1" ht="42" customHeight="1">
      <c r="A10" s="2">
        <v>6</v>
      </c>
      <c r="B10" s="12">
        <v>2544640477</v>
      </c>
      <c r="C10" s="21">
        <v>250371553018</v>
      </c>
      <c r="D10" s="22" t="s">
        <v>1474</v>
      </c>
      <c r="E10" s="12" t="s">
        <v>30</v>
      </c>
      <c r="F10" s="20" t="s">
        <v>15</v>
      </c>
      <c r="G10" s="19" t="s">
        <v>85</v>
      </c>
      <c r="H10" s="20" t="s">
        <v>4</v>
      </c>
      <c r="I10" s="20" t="s">
        <v>5</v>
      </c>
      <c r="J10" s="20" t="s">
        <v>5</v>
      </c>
      <c r="K10" s="20" t="s">
        <v>5</v>
      </c>
      <c r="L10" s="20" t="s">
        <v>3</v>
      </c>
      <c r="M10" s="20" t="s">
        <v>6</v>
      </c>
      <c r="N10" s="11" t="s">
        <v>17</v>
      </c>
      <c r="O10" s="4">
        <v>6.5555555555555554</v>
      </c>
    </row>
    <row r="11" spans="1:15" s="5" customFormat="1" ht="42" hidden="1" customHeight="1">
      <c r="A11" s="2">
        <v>7</v>
      </c>
      <c r="B11" s="12">
        <v>2544640397</v>
      </c>
      <c r="C11" s="21">
        <v>250371553022</v>
      </c>
      <c r="D11" s="22" t="s">
        <v>1475</v>
      </c>
      <c r="E11" s="12" t="s">
        <v>30</v>
      </c>
      <c r="F11" s="20" t="s">
        <v>15</v>
      </c>
      <c r="G11" s="19" t="s">
        <v>85</v>
      </c>
      <c r="H11" s="20" t="s">
        <v>4</v>
      </c>
      <c r="I11" s="20" t="s">
        <v>4</v>
      </c>
      <c r="J11" s="20" t="s">
        <v>4</v>
      </c>
      <c r="K11" s="20" t="s">
        <v>6</v>
      </c>
      <c r="L11" s="20" t="s">
        <v>7</v>
      </c>
      <c r="M11" s="20" t="s">
        <v>11</v>
      </c>
      <c r="N11" s="11" t="s">
        <v>7</v>
      </c>
      <c r="O11" s="4">
        <v>0</v>
      </c>
    </row>
    <row r="12" spans="1:15" s="5" customFormat="1" ht="42" customHeight="1">
      <c r="A12" s="2">
        <v>8</v>
      </c>
      <c r="B12" s="12">
        <v>2544640707</v>
      </c>
      <c r="C12" s="21">
        <v>250371553023</v>
      </c>
      <c r="D12" s="22" t="s">
        <v>1476</v>
      </c>
      <c r="E12" s="12" t="s">
        <v>30</v>
      </c>
      <c r="F12" s="20" t="s">
        <v>15</v>
      </c>
      <c r="G12" s="19" t="s">
        <v>85</v>
      </c>
      <c r="H12" s="20" t="s">
        <v>4</v>
      </c>
      <c r="I12" s="20" t="s">
        <v>4</v>
      </c>
      <c r="J12" s="20" t="s">
        <v>4</v>
      </c>
      <c r="K12" s="20" t="s">
        <v>4</v>
      </c>
      <c r="L12" s="20" t="s">
        <v>4</v>
      </c>
      <c r="M12" s="20" t="s">
        <v>8</v>
      </c>
      <c r="N12" s="11" t="s">
        <v>17</v>
      </c>
      <c r="O12" s="4">
        <v>7.166666666666667</v>
      </c>
    </row>
    <row r="13" spans="1:15" s="5" customFormat="1" ht="42" customHeight="1">
      <c r="A13" s="2">
        <v>9</v>
      </c>
      <c r="B13" s="12">
        <v>2544640680</v>
      </c>
      <c r="C13" s="21">
        <v>250371553024</v>
      </c>
      <c r="D13" s="22" t="s">
        <v>1477</v>
      </c>
      <c r="E13" s="12" t="s">
        <v>30</v>
      </c>
      <c r="F13" s="20" t="s">
        <v>15</v>
      </c>
      <c r="G13" s="19" t="s">
        <v>85</v>
      </c>
      <c r="H13" s="20" t="s">
        <v>3</v>
      </c>
      <c r="I13" s="20" t="s">
        <v>2</v>
      </c>
      <c r="J13" s="20" t="s">
        <v>3</v>
      </c>
      <c r="K13" s="20" t="s">
        <v>3</v>
      </c>
      <c r="L13" s="20" t="s">
        <v>8</v>
      </c>
      <c r="M13" s="20" t="s">
        <v>2</v>
      </c>
      <c r="N13" s="11" t="s">
        <v>17</v>
      </c>
      <c r="O13" s="4">
        <v>8.6666666666666661</v>
      </c>
    </row>
    <row r="14" spans="1:15" s="5" customFormat="1" ht="42" customHeight="1">
      <c r="A14" s="2">
        <v>10</v>
      </c>
      <c r="B14" s="12">
        <v>2544640412</v>
      </c>
      <c r="C14" s="21">
        <v>250371553025</v>
      </c>
      <c r="D14" s="22" t="s">
        <v>1478</v>
      </c>
      <c r="E14" s="12" t="s">
        <v>30</v>
      </c>
      <c r="F14" s="20" t="s">
        <v>15</v>
      </c>
      <c r="G14" s="19" t="s">
        <v>85</v>
      </c>
      <c r="H14" s="20" t="s">
        <v>2</v>
      </c>
      <c r="I14" s="20" t="s">
        <v>3</v>
      </c>
      <c r="J14" s="20" t="s">
        <v>3</v>
      </c>
      <c r="K14" s="20" t="s">
        <v>3</v>
      </c>
      <c r="L14" s="20" t="s">
        <v>4</v>
      </c>
      <c r="M14" s="20" t="s">
        <v>2</v>
      </c>
      <c r="N14" s="11" t="s">
        <v>17</v>
      </c>
      <c r="O14" s="4">
        <v>8</v>
      </c>
    </row>
    <row r="15" spans="1:15" s="5" customFormat="1" ht="42" customHeight="1">
      <c r="A15" s="2">
        <v>11</v>
      </c>
      <c r="B15" s="12">
        <v>2544640709</v>
      </c>
      <c r="C15" s="21">
        <v>250371553029</v>
      </c>
      <c r="D15" s="22" t="s">
        <v>1479</v>
      </c>
      <c r="E15" s="12" t="s">
        <v>30</v>
      </c>
      <c r="F15" s="20" t="s">
        <v>15</v>
      </c>
      <c r="G15" s="19" t="s">
        <v>85</v>
      </c>
      <c r="H15" s="20" t="s">
        <v>4</v>
      </c>
      <c r="I15" s="20" t="s">
        <v>5</v>
      </c>
      <c r="J15" s="20" t="s">
        <v>3</v>
      </c>
      <c r="K15" s="20" t="s">
        <v>3</v>
      </c>
      <c r="L15" s="20" t="s">
        <v>8</v>
      </c>
      <c r="M15" s="20" t="s">
        <v>3</v>
      </c>
      <c r="N15" s="11" t="s">
        <v>17</v>
      </c>
      <c r="O15" s="4">
        <v>7.9444444444444446</v>
      </c>
    </row>
    <row r="16" spans="1:15" s="5" customFormat="1" ht="42" customHeight="1">
      <c r="A16" s="2">
        <v>12</v>
      </c>
      <c r="B16" s="12">
        <v>2544640648</v>
      </c>
      <c r="C16" s="21">
        <v>250371553033</v>
      </c>
      <c r="D16" s="22" t="s">
        <v>1480</v>
      </c>
      <c r="E16" s="12" t="s">
        <v>30</v>
      </c>
      <c r="F16" s="20" t="s">
        <v>15</v>
      </c>
      <c r="G16" s="19" t="s">
        <v>85</v>
      </c>
      <c r="H16" s="20" t="s">
        <v>4</v>
      </c>
      <c r="I16" s="20" t="s">
        <v>4</v>
      </c>
      <c r="J16" s="20" t="s">
        <v>3</v>
      </c>
      <c r="K16" s="20" t="s">
        <v>3</v>
      </c>
      <c r="L16" s="20" t="s">
        <v>2</v>
      </c>
      <c r="M16" s="20" t="s">
        <v>3</v>
      </c>
      <c r="N16" s="11" t="s">
        <v>17</v>
      </c>
      <c r="O16" s="4">
        <v>7.8888888888888893</v>
      </c>
    </row>
    <row r="17" spans="1:15" s="5" customFormat="1" ht="42" customHeight="1">
      <c r="A17" s="2">
        <v>13</v>
      </c>
      <c r="B17" s="12">
        <v>2544640324</v>
      </c>
      <c r="C17" s="21">
        <v>250371553035</v>
      </c>
      <c r="D17" s="22" t="s">
        <v>1481</v>
      </c>
      <c r="E17" s="12" t="s">
        <v>30</v>
      </c>
      <c r="F17" s="20" t="s">
        <v>15</v>
      </c>
      <c r="G17" s="19" t="s">
        <v>85</v>
      </c>
      <c r="H17" s="20" t="s">
        <v>4</v>
      </c>
      <c r="I17" s="20" t="s">
        <v>2</v>
      </c>
      <c r="J17" s="20" t="s">
        <v>2</v>
      </c>
      <c r="K17" s="20" t="s">
        <v>3</v>
      </c>
      <c r="L17" s="20" t="s">
        <v>8</v>
      </c>
      <c r="M17" s="20" t="s">
        <v>8</v>
      </c>
      <c r="N17" s="11" t="s">
        <v>17</v>
      </c>
      <c r="O17" s="4">
        <v>8.7777777777777786</v>
      </c>
    </row>
    <row r="18" spans="1:15" s="5" customFormat="1" ht="42" customHeight="1">
      <c r="A18" s="2">
        <v>14</v>
      </c>
      <c r="B18" s="12">
        <v>2544640525</v>
      </c>
      <c r="C18" s="21">
        <v>250371553036</v>
      </c>
      <c r="D18" s="22" t="s">
        <v>1482</v>
      </c>
      <c r="E18" s="12" t="s">
        <v>30</v>
      </c>
      <c r="F18" s="20" t="s">
        <v>15</v>
      </c>
      <c r="G18" s="19" t="s">
        <v>85</v>
      </c>
      <c r="H18" s="20" t="s">
        <v>2</v>
      </c>
      <c r="I18" s="20" t="s">
        <v>2</v>
      </c>
      <c r="J18" s="20" t="s">
        <v>2</v>
      </c>
      <c r="K18" s="20" t="s">
        <v>2</v>
      </c>
      <c r="L18" s="20" t="s">
        <v>2</v>
      </c>
      <c r="M18" s="20" t="s">
        <v>2</v>
      </c>
      <c r="N18" s="11" t="s">
        <v>17</v>
      </c>
      <c r="O18" s="4">
        <v>9</v>
      </c>
    </row>
    <row r="19" spans="1:15" s="5" customFormat="1" ht="42" customHeight="1">
      <c r="A19" s="2">
        <v>15</v>
      </c>
      <c r="B19" s="12">
        <v>2544640419</v>
      </c>
      <c r="C19" s="21">
        <v>250371553037</v>
      </c>
      <c r="D19" s="22" t="s">
        <v>1483</v>
      </c>
      <c r="E19" s="12" t="s">
        <v>30</v>
      </c>
      <c r="F19" s="20" t="s">
        <v>15</v>
      </c>
      <c r="G19" s="19" t="s">
        <v>85</v>
      </c>
      <c r="H19" s="20" t="s">
        <v>2</v>
      </c>
      <c r="I19" s="20" t="s">
        <v>3</v>
      </c>
      <c r="J19" s="20" t="s">
        <v>2</v>
      </c>
      <c r="K19" s="20" t="s">
        <v>2</v>
      </c>
      <c r="L19" s="20" t="s">
        <v>11</v>
      </c>
      <c r="M19" s="20" t="s">
        <v>8</v>
      </c>
      <c r="N19" s="11" t="s">
        <v>17</v>
      </c>
      <c r="O19" s="4">
        <v>7.7777777777777777</v>
      </c>
    </row>
    <row r="20" spans="1:15" s="5" customFormat="1" ht="42" hidden="1" customHeight="1">
      <c r="A20" s="2">
        <v>16</v>
      </c>
      <c r="B20" s="12">
        <v>2544640768</v>
      </c>
      <c r="C20" s="21">
        <v>250371553048</v>
      </c>
      <c r="D20" s="22" t="s">
        <v>1484</v>
      </c>
      <c r="E20" s="12" t="s">
        <v>30</v>
      </c>
      <c r="F20" s="20" t="s">
        <v>15</v>
      </c>
      <c r="G20" s="19" t="s">
        <v>85</v>
      </c>
      <c r="H20" s="20" t="s">
        <v>6</v>
      </c>
      <c r="I20" s="20" t="s">
        <v>11</v>
      </c>
      <c r="J20" s="20" t="s">
        <v>4</v>
      </c>
      <c r="K20" s="20" t="s">
        <v>7</v>
      </c>
      <c r="L20" s="20" t="s">
        <v>4</v>
      </c>
      <c r="M20" s="20" t="s">
        <v>8</v>
      </c>
      <c r="N20" s="11" t="s">
        <v>7</v>
      </c>
      <c r="O20" s="4">
        <v>0</v>
      </c>
    </row>
    <row r="21" spans="1:15" s="5" customFormat="1" ht="42" customHeight="1">
      <c r="A21" s="2">
        <v>17</v>
      </c>
      <c r="B21" s="12">
        <v>2544640357</v>
      </c>
      <c r="C21" s="21">
        <v>250371553049</v>
      </c>
      <c r="D21" s="22" t="s">
        <v>1485</v>
      </c>
      <c r="E21" s="12" t="s">
        <v>30</v>
      </c>
      <c r="F21" s="20" t="s">
        <v>15</v>
      </c>
      <c r="G21" s="19" t="s">
        <v>85</v>
      </c>
      <c r="H21" s="20" t="s">
        <v>2</v>
      </c>
      <c r="I21" s="20" t="s">
        <v>2</v>
      </c>
      <c r="J21" s="20" t="s">
        <v>2</v>
      </c>
      <c r="K21" s="20" t="s">
        <v>2</v>
      </c>
      <c r="L21" s="20" t="s">
        <v>8</v>
      </c>
      <c r="M21" s="20" t="s">
        <v>8</v>
      </c>
      <c r="N21" s="11" t="s">
        <v>17</v>
      </c>
      <c r="O21" s="4">
        <v>9.2777777777777786</v>
      </c>
    </row>
    <row r="22" spans="1:15" s="5" customFormat="1" ht="42" customHeight="1">
      <c r="A22" s="2">
        <v>18</v>
      </c>
      <c r="B22" s="12">
        <v>2544640501</v>
      </c>
      <c r="C22" s="21">
        <v>250371553052</v>
      </c>
      <c r="D22" s="22" t="s">
        <v>1486</v>
      </c>
      <c r="E22" s="12" t="s">
        <v>30</v>
      </c>
      <c r="F22" s="20" t="s">
        <v>15</v>
      </c>
      <c r="G22" s="19" t="s">
        <v>85</v>
      </c>
      <c r="H22" s="20" t="s">
        <v>6</v>
      </c>
      <c r="I22" s="20" t="s">
        <v>11</v>
      </c>
      <c r="J22" s="20" t="s">
        <v>4</v>
      </c>
      <c r="K22" s="20" t="s">
        <v>4</v>
      </c>
      <c r="L22" s="20" t="s">
        <v>4</v>
      </c>
      <c r="M22" s="20" t="s">
        <v>2</v>
      </c>
      <c r="N22" s="11" t="s">
        <v>17</v>
      </c>
      <c r="O22" s="4">
        <v>6.28</v>
      </c>
    </row>
    <row r="23" spans="1:15" s="5" customFormat="1" ht="42" customHeight="1">
      <c r="A23" s="2">
        <v>19</v>
      </c>
      <c r="B23" s="12">
        <v>2544640134</v>
      </c>
      <c r="C23" s="21">
        <v>250371553057</v>
      </c>
      <c r="D23" s="22" t="s">
        <v>1487</v>
      </c>
      <c r="E23" s="12" t="s">
        <v>30</v>
      </c>
      <c r="F23" s="20" t="s">
        <v>15</v>
      </c>
      <c r="G23" s="19" t="s">
        <v>85</v>
      </c>
      <c r="H23" s="20" t="s">
        <v>3</v>
      </c>
      <c r="I23" s="20" t="s">
        <v>2</v>
      </c>
      <c r="J23" s="20" t="s">
        <v>3</v>
      </c>
      <c r="K23" s="20" t="s">
        <v>2</v>
      </c>
      <c r="L23" s="20" t="s">
        <v>5</v>
      </c>
      <c r="M23" s="20" t="s">
        <v>2</v>
      </c>
      <c r="N23" s="11" t="s">
        <v>17</v>
      </c>
      <c r="O23" s="4">
        <v>7.94</v>
      </c>
    </row>
    <row r="24" spans="1:15" s="5" customFormat="1" ht="42" customHeight="1">
      <c r="A24" s="2">
        <v>20</v>
      </c>
      <c r="B24" s="12">
        <v>2544640563</v>
      </c>
      <c r="C24" s="21">
        <v>250371553060</v>
      </c>
      <c r="D24" s="22" t="s">
        <v>1488</v>
      </c>
      <c r="E24" s="12" t="s">
        <v>30</v>
      </c>
      <c r="F24" s="20" t="s">
        <v>15</v>
      </c>
      <c r="G24" s="19" t="s">
        <v>85</v>
      </c>
      <c r="H24" s="20" t="s">
        <v>4</v>
      </c>
      <c r="I24" s="20" t="s">
        <v>3</v>
      </c>
      <c r="J24" s="20" t="s">
        <v>2</v>
      </c>
      <c r="K24" s="20" t="s">
        <v>2</v>
      </c>
      <c r="L24" s="20" t="s">
        <v>2</v>
      </c>
      <c r="M24" s="20" t="s">
        <v>3</v>
      </c>
      <c r="N24" s="11" t="s">
        <v>17</v>
      </c>
      <c r="O24" s="4">
        <v>8.4444444444444446</v>
      </c>
    </row>
    <row r="25" spans="1:15" s="5" customFormat="1" ht="42" hidden="1" customHeight="1">
      <c r="A25" s="2">
        <v>21</v>
      </c>
      <c r="B25" s="12">
        <v>2544640740</v>
      </c>
      <c r="C25" s="21">
        <v>250371553063</v>
      </c>
      <c r="D25" s="22" t="s">
        <v>1489</v>
      </c>
      <c r="E25" s="12" t="s">
        <v>30</v>
      </c>
      <c r="F25" s="20" t="s">
        <v>15</v>
      </c>
      <c r="G25" s="19" t="s">
        <v>85</v>
      </c>
      <c r="H25" s="20" t="s">
        <v>4</v>
      </c>
      <c r="I25" s="20" t="s">
        <v>3</v>
      </c>
      <c r="J25" s="20" t="s">
        <v>4</v>
      </c>
      <c r="K25" s="20" t="s">
        <v>4</v>
      </c>
      <c r="L25" s="20" t="s">
        <v>7</v>
      </c>
      <c r="M25" s="20" t="s">
        <v>3</v>
      </c>
      <c r="N25" s="11" t="s">
        <v>7</v>
      </c>
      <c r="O25" s="4">
        <v>0</v>
      </c>
    </row>
    <row r="26" spans="1:15" s="5" customFormat="1" ht="42" customHeight="1">
      <c r="A26" s="2">
        <v>22</v>
      </c>
      <c r="B26" s="12">
        <v>2544640333</v>
      </c>
      <c r="C26" s="21">
        <v>250371553065</v>
      </c>
      <c r="D26" s="22" t="s">
        <v>1490</v>
      </c>
      <c r="E26" s="12" t="s">
        <v>30</v>
      </c>
      <c r="F26" s="20" t="s">
        <v>15</v>
      </c>
      <c r="G26" s="19" t="s">
        <v>85</v>
      </c>
      <c r="H26" s="20" t="s">
        <v>3</v>
      </c>
      <c r="I26" s="20" t="s">
        <v>2</v>
      </c>
      <c r="J26" s="20" t="s">
        <v>2</v>
      </c>
      <c r="K26" s="20" t="s">
        <v>8</v>
      </c>
      <c r="L26" s="20" t="s">
        <v>2</v>
      </c>
      <c r="M26" s="20" t="s">
        <v>2</v>
      </c>
      <c r="N26" s="11" t="s">
        <v>17</v>
      </c>
      <c r="O26" s="4">
        <v>9</v>
      </c>
    </row>
    <row r="27" spans="1:15" s="5" customFormat="1" ht="42" hidden="1" customHeight="1">
      <c r="A27" s="2">
        <v>23</v>
      </c>
      <c r="B27" s="12">
        <v>2544640500</v>
      </c>
      <c r="C27" s="21">
        <v>250371553070</v>
      </c>
      <c r="D27" s="22" t="s">
        <v>1491</v>
      </c>
      <c r="E27" s="12" t="s">
        <v>30</v>
      </c>
      <c r="F27" s="20" t="s">
        <v>15</v>
      </c>
      <c r="G27" s="19" t="s">
        <v>85</v>
      </c>
      <c r="H27" s="20" t="s">
        <v>6</v>
      </c>
      <c r="I27" s="20" t="s">
        <v>4</v>
      </c>
      <c r="J27" s="20" t="s">
        <v>4</v>
      </c>
      <c r="K27" s="20" t="s">
        <v>3</v>
      </c>
      <c r="L27" s="20" t="s">
        <v>2</v>
      </c>
      <c r="M27" s="20" t="s">
        <v>7</v>
      </c>
      <c r="N27" s="11" t="s">
        <v>7</v>
      </c>
      <c r="O27" s="4">
        <v>0</v>
      </c>
    </row>
    <row r="28" spans="1:15" s="5" customFormat="1" ht="42" hidden="1" customHeight="1">
      <c r="A28" s="2">
        <v>24</v>
      </c>
      <c r="B28" s="12">
        <v>2544640624</v>
      </c>
      <c r="C28" s="21">
        <v>250371553080</v>
      </c>
      <c r="D28" s="22" t="s">
        <v>1492</v>
      </c>
      <c r="E28" s="12" t="s">
        <v>30</v>
      </c>
      <c r="F28" s="20" t="s">
        <v>15</v>
      </c>
      <c r="G28" s="19" t="s">
        <v>85</v>
      </c>
      <c r="H28" s="20" t="s">
        <v>1516</v>
      </c>
      <c r="I28" s="20" t="s">
        <v>1516</v>
      </c>
      <c r="J28" s="20" t="s">
        <v>1516</v>
      </c>
      <c r="K28" s="20" t="s">
        <v>1516</v>
      </c>
      <c r="L28" s="20" t="s">
        <v>1516</v>
      </c>
      <c r="M28" s="20" t="s">
        <v>1516</v>
      </c>
      <c r="N28" s="11" t="s">
        <v>1516</v>
      </c>
      <c r="O28" s="4">
        <v>0</v>
      </c>
    </row>
    <row r="29" spans="1:15" s="5" customFormat="1" ht="42" customHeight="1">
      <c r="A29" s="2">
        <v>25</v>
      </c>
      <c r="B29" s="12">
        <v>2544640824</v>
      </c>
      <c r="C29" s="21">
        <v>250371553083</v>
      </c>
      <c r="D29" s="22" t="s">
        <v>1493</v>
      </c>
      <c r="E29" s="12" t="s">
        <v>30</v>
      </c>
      <c r="F29" s="20" t="s">
        <v>15</v>
      </c>
      <c r="G29" s="19" t="s">
        <v>85</v>
      </c>
      <c r="H29" s="20" t="s">
        <v>3</v>
      </c>
      <c r="I29" s="20" t="s">
        <v>3</v>
      </c>
      <c r="J29" s="20" t="s">
        <v>3</v>
      </c>
      <c r="K29" s="20" t="s">
        <v>4</v>
      </c>
      <c r="L29" s="20" t="s">
        <v>3</v>
      </c>
      <c r="M29" s="20" t="s">
        <v>2</v>
      </c>
      <c r="N29" s="11" t="s">
        <v>17</v>
      </c>
      <c r="O29" s="4">
        <v>7.8888888888888893</v>
      </c>
    </row>
    <row r="30" spans="1:15" s="5" customFormat="1" ht="42" customHeight="1">
      <c r="A30" s="2">
        <v>26</v>
      </c>
      <c r="B30" s="12">
        <v>2544640527</v>
      </c>
      <c r="C30" s="21">
        <v>250371553088</v>
      </c>
      <c r="D30" s="22" t="s">
        <v>1494</v>
      </c>
      <c r="E30" s="12" t="s">
        <v>30</v>
      </c>
      <c r="F30" s="20" t="s">
        <v>15</v>
      </c>
      <c r="G30" s="19" t="s">
        <v>85</v>
      </c>
      <c r="H30" s="20" t="s">
        <v>3</v>
      </c>
      <c r="I30" s="20" t="s">
        <v>4</v>
      </c>
      <c r="J30" s="20" t="s">
        <v>2</v>
      </c>
      <c r="K30" s="20" t="s">
        <v>3</v>
      </c>
      <c r="L30" s="20" t="s">
        <v>3</v>
      </c>
      <c r="M30" s="20" t="s">
        <v>5</v>
      </c>
      <c r="N30" s="11" t="s">
        <v>17</v>
      </c>
      <c r="O30" s="4">
        <v>7.9444444444444446</v>
      </c>
    </row>
    <row r="31" spans="1:15" s="5" customFormat="1" ht="42" hidden="1" customHeight="1">
      <c r="A31" s="2">
        <v>27</v>
      </c>
      <c r="B31" s="12">
        <v>2544640552</v>
      </c>
      <c r="C31" s="21">
        <v>250371553094</v>
      </c>
      <c r="D31" s="22" t="s">
        <v>1495</v>
      </c>
      <c r="E31" s="12" t="s">
        <v>30</v>
      </c>
      <c r="F31" s="20" t="s">
        <v>15</v>
      </c>
      <c r="G31" s="19" t="s">
        <v>85</v>
      </c>
      <c r="H31" s="20" t="s">
        <v>1516</v>
      </c>
      <c r="I31" s="20" t="s">
        <v>6</v>
      </c>
      <c r="J31" s="20" t="s">
        <v>1516</v>
      </c>
      <c r="K31" s="20" t="s">
        <v>4</v>
      </c>
      <c r="L31" s="20" t="s">
        <v>3</v>
      </c>
      <c r="M31" s="20" t="s">
        <v>11</v>
      </c>
      <c r="N31" s="11" t="s">
        <v>1516</v>
      </c>
      <c r="O31" s="4">
        <v>0</v>
      </c>
    </row>
    <row r="32" spans="1:15" s="5" customFormat="1" ht="42" customHeight="1">
      <c r="A32" s="2">
        <v>28</v>
      </c>
      <c r="B32" s="12">
        <v>2544640683</v>
      </c>
      <c r="C32" s="21">
        <v>250371553095</v>
      </c>
      <c r="D32" s="22" t="s">
        <v>1496</v>
      </c>
      <c r="E32" s="12" t="s">
        <v>30</v>
      </c>
      <c r="F32" s="20" t="s">
        <v>15</v>
      </c>
      <c r="G32" s="19" t="s">
        <v>85</v>
      </c>
      <c r="H32" s="20" t="s">
        <v>2</v>
      </c>
      <c r="I32" s="20" t="s">
        <v>2</v>
      </c>
      <c r="J32" s="20" t="s">
        <v>2</v>
      </c>
      <c r="K32" s="20" t="s">
        <v>2</v>
      </c>
      <c r="L32" s="20" t="s">
        <v>2</v>
      </c>
      <c r="M32" s="20" t="s">
        <v>8</v>
      </c>
      <c r="N32" s="11" t="s">
        <v>17</v>
      </c>
      <c r="O32" s="4">
        <v>9.0555555555555554</v>
      </c>
    </row>
    <row r="33" spans="1:15" s="5" customFormat="1" ht="42" hidden="1" customHeight="1">
      <c r="A33" s="2">
        <v>29</v>
      </c>
      <c r="B33" s="12">
        <v>2544640605</v>
      </c>
      <c r="C33" s="21">
        <v>250371553102</v>
      </c>
      <c r="D33" s="22" t="s">
        <v>1497</v>
      </c>
      <c r="E33" s="12" t="s">
        <v>30</v>
      </c>
      <c r="F33" s="20" t="s">
        <v>15</v>
      </c>
      <c r="G33" s="19" t="s">
        <v>85</v>
      </c>
      <c r="H33" s="20" t="s">
        <v>2</v>
      </c>
      <c r="I33" s="20" t="s">
        <v>2</v>
      </c>
      <c r="J33" s="20" t="s">
        <v>3</v>
      </c>
      <c r="K33" s="20" t="s">
        <v>3</v>
      </c>
      <c r="L33" s="20" t="s">
        <v>5</v>
      </c>
      <c r="M33" s="20" t="s">
        <v>7</v>
      </c>
      <c r="N33" s="11" t="s">
        <v>7</v>
      </c>
      <c r="O33" s="4">
        <v>0</v>
      </c>
    </row>
    <row r="34" spans="1:15" s="5" customFormat="1" ht="42" customHeight="1">
      <c r="A34" s="2">
        <v>30</v>
      </c>
      <c r="B34" s="12">
        <v>2544640741</v>
      </c>
      <c r="C34" s="21">
        <v>250371553107</v>
      </c>
      <c r="D34" s="22" t="s">
        <v>1498</v>
      </c>
      <c r="E34" s="12" t="s">
        <v>30</v>
      </c>
      <c r="F34" s="20" t="s">
        <v>15</v>
      </c>
      <c r="G34" s="19" t="s">
        <v>85</v>
      </c>
      <c r="H34" s="20" t="s">
        <v>4</v>
      </c>
      <c r="I34" s="20" t="s">
        <v>3</v>
      </c>
      <c r="J34" s="20" t="s">
        <v>4</v>
      </c>
      <c r="K34" s="20" t="s">
        <v>3</v>
      </c>
      <c r="L34" s="20" t="s">
        <v>3</v>
      </c>
      <c r="M34" s="20" t="s">
        <v>8</v>
      </c>
      <c r="N34" s="11" t="s">
        <v>17</v>
      </c>
      <c r="O34" s="4">
        <v>7.7222222222222223</v>
      </c>
    </row>
    <row r="35" spans="1:15" s="5" customFormat="1" ht="42" customHeight="1">
      <c r="A35" s="2">
        <v>31</v>
      </c>
      <c r="B35" s="12">
        <v>2544640827</v>
      </c>
      <c r="C35" s="21">
        <v>250371553108</v>
      </c>
      <c r="D35" s="22" t="s">
        <v>1499</v>
      </c>
      <c r="E35" s="12" t="s">
        <v>30</v>
      </c>
      <c r="F35" s="20" t="s">
        <v>15</v>
      </c>
      <c r="G35" s="19" t="s">
        <v>85</v>
      </c>
      <c r="H35" s="20" t="s">
        <v>4</v>
      </c>
      <c r="I35" s="20" t="s">
        <v>3</v>
      </c>
      <c r="J35" s="20" t="s">
        <v>4</v>
      </c>
      <c r="K35" s="20" t="s">
        <v>5</v>
      </c>
      <c r="L35" s="20" t="s">
        <v>4</v>
      </c>
      <c r="M35" s="20" t="s">
        <v>3</v>
      </c>
      <c r="N35" s="11" t="s">
        <v>17</v>
      </c>
      <c r="O35" s="4">
        <v>7.0555555555555554</v>
      </c>
    </row>
    <row r="36" spans="1:15" s="5" customFormat="1" ht="42" customHeight="1">
      <c r="A36" s="2">
        <v>32</v>
      </c>
      <c r="B36" s="12">
        <v>2544640396</v>
      </c>
      <c r="C36" s="21">
        <v>250371553110</v>
      </c>
      <c r="D36" s="22" t="s">
        <v>1500</v>
      </c>
      <c r="E36" s="12" t="s">
        <v>30</v>
      </c>
      <c r="F36" s="20" t="s">
        <v>15</v>
      </c>
      <c r="G36" s="19" t="s">
        <v>85</v>
      </c>
      <c r="H36" s="20" t="s">
        <v>3</v>
      </c>
      <c r="I36" s="20" t="s">
        <v>2</v>
      </c>
      <c r="J36" s="20" t="s">
        <v>3</v>
      </c>
      <c r="K36" s="20" t="s">
        <v>6</v>
      </c>
      <c r="L36" s="20" t="s">
        <v>3</v>
      </c>
      <c r="M36" s="20" t="s">
        <v>4</v>
      </c>
      <c r="N36" s="11" t="s">
        <v>17</v>
      </c>
      <c r="O36" s="4">
        <v>7.6111111111111107</v>
      </c>
    </row>
    <row r="37" spans="1:15" s="5" customFormat="1" ht="42" hidden="1" customHeight="1">
      <c r="A37" s="2">
        <v>33</v>
      </c>
      <c r="B37" s="12">
        <v>2544640566</v>
      </c>
      <c r="C37" s="21">
        <v>250371553112</v>
      </c>
      <c r="D37" s="22" t="s">
        <v>1501</v>
      </c>
      <c r="E37" s="12" t="s">
        <v>30</v>
      </c>
      <c r="F37" s="20" t="s">
        <v>15</v>
      </c>
      <c r="G37" s="19" t="s">
        <v>85</v>
      </c>
      <c r="H37" s="20" t="s">
        <v>4</v>
      </c>
      <c r="I37" s="20" t="s">
        <v>3</v>
      </c>
      <c r="J37" s="20" t="s">
        <v>4</v>
      </c>
      <c r="K37" s="20" t="s">
        <v>7</v>
      </c>
      <c r="L37" s="20" t="s">
        <v>4</v>
      </c>
      <c r="M37" s="20" t="s">
        <v>3</v>
      </c>
      <c r="N37" s="11" t="s">
        <v>7</v>
      </c>
      <c r="O37" s="4">
        <v>0</v>
      </c>
    </row>
    <row r="38" spans="1:15" s="5" customFormat="1" ht="42" hidden="1" customHeight="1">
      <c r="A38" s="2">
        <v>34</v>
      </c>
      <c r="B38" s="12">
        <v>2544640560</v>
      </c>
      <c r="C38" s="21">
        <v>250371553116</v>
      </c>
      <c r="D38" s="22" t="s">
        <v>1502</v>
      </c>
      <c r="E38" s="12" t="s">
        <v>30</v>
      </c>
      <c r="F38" s="20" t="s">
        <v>15</v>
      </c>
      <c r="G38" s="19" t="s">
        <v>85</v>
      </c>
      <c r="H38" s="20" t="s">
        <v>3</v>
      </c>
      <c r="I38" s="20" t="s">
        <v>5</v>
      </c>
      <c r="J38" s="20" t="s">
        <v>5</v>
      </c>
      <c r="K38" s="20" t="s">
        <v>7</v>
      </c>
      <c r="L38" s="20" t="s">
        <v>6</v>
      </c>
      <c r="M38" s="20" t="s">
        <v>7</v>
      </c>
      <c r="N38" s="11" t="s">
        <v>7</v>
      </c>
      <c r="O38" s="4">
        <v>0</v>
      </c>
    </row>
    <row r="39" spans="1:15" s="5" customFormat="1" ht="42" customHeight="1">
      <c r="A39" s="2">
        <v>35</v>
      </c>
      <c r="B39" s="12">
        <v>2544640749</v>
      </c>
      <c r="C39" s="21">
        <v>250371553117</v>
      </c>
      <c r="D39" s="22" t="s">
        <v>1503</v>
      </c>
      <c r="E39" s="12" t="s">
        <v>30</v>
      </c>
      <c r="F39" s="20" t="s">
        <v>15</v>
      </c>
      <c r="G39" s="19" t="s">
        <v>85</v>
      </c>
      <c r="H39" s="20" t="s">
        <v>2</v>
      </c>
      <c r="I39" s="20" t="s">
        <v>8</v>
      </c>
      <c r="J39" s="20" t="s">
        <v>3</v>
      </c>
      <c r="K39" s="20" t="s">
        <v>8</v>
      </c>
      <c r="L39" s="20" t="s">
        <v>3</v>
      </c>
      <c r="M39" s="20" t="s">
        <v>8</v>
      </c>
      <c r="N39" s="11" t="s">
        <v>17</v>
      </c>
      <c r="O39" s="4">
        <v>8.9444444444444446</v>
      </c>
    </row>
    <row r="40" spans="1:15" s="5" customFormat="1" ht="42" customHeight="1">
      <c r="A40" s="2">
        <v>36</v>
      </c>
      <c r="B40" s="12">
        <v>2544640522</v>
      </c>
      <c r="C40" s="21">
        <v>250371553125</v>
      </c>
      <c r="D40" s="22" t="s">
        <v>1504</v>
      </c>
      <c r="E40" s="12" t="s">
        <v>30</v>
      </c>
      <c r="F40" s="20" t="s">
        <v>15</v>
      </c>
      <c r="G40" s="19" t="s">
        <v>85</v>
      </c>
      <c r="H40" s="20" t="s">
        <v>3</v>
      </c>
      <c r="I40" s="20" t="s">
        <v>2</v>
      </c>
      <c r="J40" s="20" t="s">
        <v>2</v>
      </c>
      <c r="K40" s="20" t="s">
        <v>3</v>
      </c>
      <c r="L40" s="20" t="s">
        <v>3</v>
      </c>
      <c r="M40" s="20" t="s">
        <v>2</v>
      </c>
      <c r="N40" s="11" t="s">
        <v>17</v>
      </c>
      <c r="O40" s="4">
        <v>8.4444444444444446</v>
      </c>
    </row>
    <row r="41" spans="1:15" s="5" customFormat="1" ht="42" customHeight="1">
      <c r="A41" s="2">
        <v>37</v>
      </c>
      <c r="B41" s="12">
        <v>2544640689</v>
      </c>
      <c r="C41" s="21">
        <v>250371553129</v>
      </c>
      <c r="D41" s="22" t="s">
        <v>1505</v>
      </c>
      <c r="E41" s="12" t="s">
        <v>30</v>
      </c>
      <c r="F41" s="20" t="s">
        <v>15</v>
      </c>
      <c r="G41" s="19" t="s">
        <v>85</v>
      </c>
      <c r="H41" s="20" t="s">
        <v>3</v>
      </c>
      <c r="I41" s="20" t="s">
        <v>3</v>
      </c>
      <c r="J41" s="20" t="s">
        <v>3</v>
      </c>
      <c r="K41" s="20" t="s">
        <v>3</v>
      </c>
      <c r="L41" s="20" t="s">
        <v>2</v>
      </c>
      <c r="M41" s="20" t="s">
        <v>8</v>
      </c>
      <c r="N41" s="11" t="s">
        <v>17</v>
      </c>
      <c r="O41" s="4">
        <v>8.3333333333333339</v>
      </c>
    </row>
    <row r="42" spans="1:15" s="5" customFormat="1" ht="42" customHeight="1">
      <c r="A42" s="2">
        <v>38</v>
      </c>
      <c r="B42" s="12">
        <v>2544640335</v>
      </c>
      <c r="C42" s="21">
        <v>250371553130</v>
      </c>
      <c r="D42" s="22" t="s">
        <v>1506</v>
      </c>
      <c r="E42" s="12" t="s">
        <v>30</v>
      </c>
      <c r="F42" s="20" t="s">
        <v>15</v>
      </c>
      <c r="G42" s="19" t="s">
        <v>85</v>
      </c>
      <c r="H42" s="20" t="s">
        <v>3</v>
      </c>
      <c r="I42" s="20" t="s">
        <v>2</v>
      </c>
      <c r="J42" s="20" t="s">
        <v>3</v>
      </c>
      <c r="K42" s="20" t="s">
        <v>3</v>
      </c>
      <c r="L42" s="20" t="s">
        <v>8</v>
      </c>
      <c r="M42" s="20" t="s">
        <v>8</v>
      </c>
      <c r="N42" s="11" t="s">
        <v>17</v>
      </c>
      <c r="O42" s="4">
        <v>8.7222222222222214</v>
      </c>
    </row>
    <row r="43" spans="1:15" s="5" customFormat="1" ht="42" customHeight="1">
      <c r="A43" s="2">
        <v>39</v>
      </c>
      <c r="B43" s="12">
        <v>2544640022</v>
      </c>
      <c r="C43" s="21">
        <v>250371553131</v>
      </c>
      <c r="D43" s="22" t="s">
        <v>1507</v>
      </c>
      <c r="E43" s="12" t="s">
        <v>30</v>
      </c>
      <c r="F43" s="20" t="s">
        <v>15</v>
      </c>
      <c r="G43" s="19" t="s">
        <v>85</v>
      </c>
      <c r="H43" s="20" t="s">
        <v>2</v>
      </c>
      <c r="I43" s="20" t="s">
        <v>2</v>
      </c>
      <c r="J43" s="20" t="s">
        <v>2</v>
      </c>
      <c r="K43" s="20" t="s">
        <v>8</v>
      </c>
      <c r="L43" s="20" t="s">
        <v>3</v>
      </c>
      <c r="M43" s="20" t="s">
        <v>2</v>
      </c>
      <c r="N43" s="11" t="s">
        <v>17</v>
      </c>
      <c r="O43" s="4">
        <v>8.9444444444444446</v>
      </c>
    </row>
    <row r="44" spans="1:15" s="5" customFormat="1" ht="42" customHeight="1">
      <c r="A44" s="2">
        <v>40</v>
      </c>
      <c r="B44" s="12">
        <v>2544640849</v>
      </c>
      <c r="C44" s="21">
        <v>250371553132</v>
      </c>
      <c r="D44" s="22" t="s">
        <v>1508</v>
      </c>
      <c r="E44" s="12" t="s">
        <v>30</v>
      </c>
      <c r="F44" s="20" t="s">
        <v>15</v>
      </c>
      <c r="G44" s="19" t="s">
        <v>85</v>
      </c>
      <c r="H44" s="20" t="s">
        <v>4</v>
      </c>
      <c r="I44" s="20" t="s">
        <v>2</v>
      </c>
      <c r="J44" s="20" t="s">
        <v>2</v>
      </c>
      <c r="K44" s="20" t="s">
        <v>2</v>
      </c>
      <c r="L44" s="20" t="s">
        <v>4</v>
      </c>
      <c r="M44" s="20" t="s">
        <v>8</v>
      </c>
      <c r="N44" s="11" t="s">
        <v>17</v>
      </c>
      <c r="O44" s="4">
        <v>8.2777777777777786</v>
      </c>
    </row>
    <row r="45" spans="1:15" s="5" customFormat="1" ht="42" customHeight="1">
      <c r="A45" s="2">
        <v>41</v>
      </c>
      <c r="B45" s="12">
        <v>2544640403</v>
      </c>
      <c r="C45" s="21">
        <v>250371553134</v>
      </c>
      <c r="D45" s="22" t="s">
        <v>1509</v>
      </c>
      <c r="E45" s="12" t="s">
        <v>30</v>
      </c>
      <c r="F45" s="20" t="s">
        <v>15</v>
      </c>
      <c r="G45" s="19" t="s">
        <v>85</v>
      </c>
      <c r="H45" s="20" t="s">
        <v>4</v>
      </c>
      <c r="I45" s="20" t="s">
        <v>3</v>
      </c>
      <c r="J45" s="20" t="s">
        <v>2</v>
      </c>
      <c r="K45" s="20" t="s">
        <v>2</v>
      </c>
      <c r="L45" s="20" t="s">
        <v>2</v>
      </c>
      <c r="M45" s="20" t="s">
        <v>3</v>
      </c>
      <c r="N45" s="11" t="s">
        <v>17</v>
      </c>
      <c r="O45" s="4">
        <v>8.4444444444444446</v>
      </c>
    </row>
    <row r="46" spans="1:15" s="5" customFormat="1" ht="42" hidden="1" customHeight="1">
      <c r="A46" s="2">
        <v>42</v>
      </c>
      <c r="B46" s="12">
        <v>2544640503</v>
      </c>
      <c r="C46" s="21">
        <v>250371553135</v>
      </c>
      <c r="D46" s="22" t="s">
        <v>1510</v>
      </c>
      <c r="E46" s="12" t="s">
        <v>30</v>
      </c>
      <c r="F46" s="20" t="s">
        <v>15</v>
      </c>
      <c r="G46" s="19" t="s">
        <v>85</v>
      </c>
      <c r="H46" s="20" t="s">
        <v>4</v>
      </c>
      <c r="I46" s="20" t="s">
        <v>4</v>
      </c>
      <c r="J46" s="20" t="s">
        <v>4</v>
      </c>
      <c r="K46" s="20" t="s">
        <v>4</v>
      </c>
      <c r="L46" s="20" t="s">
        <v>5</v>
      </c>
      <c r="M46" s="20" t="s">
        <v>7</v>
      </c>
      <c r="N46" s="11" t="s">
        <v>7</v>
      </c>
      <c r="O46" s="4">
        <v>0</v>
      </c>
    </row>
    <row r="47" spans="1:15" s="5" customFormat="1" ht="42" customHeight="1">
      <c r="A47" s="2">
        <v>43</v>
      </c>
      <c r="B47" s="12">
        <v>2544640355</v>
      </c>
      <c r="C47" s="21">
        <v>250371553139</v>
      </c>
      <c r="D47" s="22" t="s">
        <v>1511</v>
      </c>
      <c r="E47" s="12" t="s">
        <v>30</v>
      </c>
      <c r="F47" s="20" t="s">
        <v>15</v>
      </c>
      <c r="G47" s="19" t="s">
        <v>85</v>
      </c>
      <c r="H47" s="20" t="s">
        <v>3</v>
      </c>
      <c r="I47" s="20" t="s">
        <v>2</v>
      </c>
      <c r="J47" s="20" t="s">
        <v>2</v>
      </c>
      <c r="K47" s="20" t="s">
        <v>8</v>
      </c>
      <c r="L47" s="20" t="s">
        <v>4</v>
      </c>
      <c r="M47" s="20" t="s">
        <v>3</v>
      </c>
      <c r="N47" s="11" t="s">
        <v>17</v>
      </c>
      <c r="O47" s="4">
        <v>8.5</v>
      </c>
    </row>
    <row r="48" spans="1:15" s="5" customFormat="1" ht="42" customHeight="1">
      <c r="A48" s="2">
        <v>44</v>
      </c>
      <c r="B48" s="12">
        <v>2544640381</v>
      </c>
      <c r="C48" s="21">
        <v>250371553140</v>
      </c>
      <c r="D48" s="22" t="s">
        <v>1512</v>
      </c>
      <c r="E48" s="12" t="s">
        <v>30</v>
      </c>
      <c r="F48" s="20" t="s">
        <v>15</v>
      </c>
      <c r="G48" s="19" t="s">
        <v>85</v>
      </c>
      <c r="H48" s="20" t="s">
        <v>3</v>
      </c>
      <c r="I48" s="20" t="s">
        <v>2</v>
      </c>
      <c r="J48" s="20" t="s">
        <v>8</v>
      </c>
      <c r="K48" s="20" t="s">
        <v>2</v>
      </c>
      <c r="L48" s="20" t="s">
        <v>4</v>
      </c>
      <c r="M48" s="20" t="s">
        <v>8</v>
      </c>
      <c r="N48" s="11" t="s">
        <v>17</v>
      </c>
      <c r="O48" s="4">
        <v>8.6666666666666661</v>
      </c>
    </row>
    <row r="49" spans="1:15" s="5" customFormat="1" ht="42" customHeight="1">
      <c r="A49" s="2">
        <v>45</v>
      </c>
      <c r="B49" s="12">
        <v>2544640674</v>
      </c>
      <c r="C49" s="21">
        <v>250371553144</v>
      </c>
      <c r="D49" s="22" t="s">
        <v>1513</v>
      </c>
      <c r="E49" s="12" t="s">
        <v>30</v>
      </c>
      <c r="F49" s="20" t="s">
        <v>15</v>
      </c>
      <c r="G49" s="19" t="s">
        <v>85</v>
      </c>
      <c r="H49" s="20" t="s">
        <v>2</v>
      </c>
      <c r="I49" s="20" t="s">
        <v>2</v>
      </c>
      <c r="J49" s="20" t="s">
        <v>2</v>
      </c>
      <c r="K49" s="20" t="s">
        <v>3</v>
      </c>
      <c r="L49" s="20" t="s">
        <v>3</v>
      </c>
      <c r="M49" s="20" t="s">
        <v>2</v>
      </c>
      <c r="N49" s="11" t="s">
        <v>17</v>
      </c>
      <c r="O49" s="4">
        <v>8.6111111111111107</v>
      </c>
    </row>
    <row r="50" spans="1:15" s="5" customFormat="1" ht="42" customHeight="1">
      <c r="A50" s="2">
        <v>46</v>
      </c>
      <c r="B50" s="12">
        <v>2544640534</v>
      </c>
      <c r="C50" s="21">
        <v>250371553150</v>
      </c>
      <c r="D50" s="22" t="s">
        <v>1514</v>
      </c>
      <c r="E50" s="12" t="s">
        <v>30</v>
      </c>
      <c r="F50" s="20" t="s">
        <v>15</v>
      </c>
      <c r="G50" s="19" t="s">
        <v>85</v>
      </c>
      <c r="H50" s="20" t="s">
        <v>3</v>
      </c>
      <c r="I50" s="20" t="s">
        <v>2</v>
      </c>
      <c r="J50" s="20" t="s">
        <v>4</v>
      </c>
      <c r="K50" s="20" t="s">
        <v>3</v>
      </c>
      <c r="L50" s="20" t="s">
        <v>2</v>
      </c>
      <c r="M50" s="20" t="s">
        <v>2</v>
      </c>
      <c r="N50" s="11" t="s">
        <v>17</v>
      </c>
      <c r="O50" s="4">
        <v>8.2222222222222214</v>
      </c>
    </row>
    <row r="51" spans="1:15" s="5" customFormat="1" ht="42" customHeight="1">
      <c r="A51" s="2">
        <v>47</v>
      </c>
      <c r="B51" s="12">
        <v>2544640748</v>
      </c>
      <c r="C51" s="21">
        <v>250371553155</v>
      </c>
      <c r="D51" s="22" t="s">
        <v>1515</v>
      </c>
      <c r="E51" s="12" t="s">
        <v>30</v>
      </c>
      <c r="F51" s="20" t="s">
        <v>15</v>
      </c>
      <c r="G51" s="19" t="s">
        <v>85</v>
      </c>
      <c r="H51" s="20" t="s">
        <v>3</v>
      </c>
      <c r="I51" s="20" t="s">
        <v>2</v>
      </c>
      <c r="J51" s="20" t="s">
        <v>4</v>
      </c>
      <c r="K51" s="20" t="s">
        <v>3</v>
      </c>
      <c r="L51" s="20" t="s">
        <v>3</v>
      </c>
      <c r="M51" s="20" t="s">
        <v>3</v>
      </c>
      <c r="N51" s="11" t="s">
        <v>17</v>
      </c>
      <c r="O51" s="4">
        <v>7.9444444444444446</v>
      </c>
    </row>
  </sheetData>
  <autoFilter ref="A3:O51">
    <filterColumn colId="6"/>
    <filterColumn colId="10"/>
    <filterColumn colId="11"/>
    <filterColumn colId="12"/>
    <filterColumn colId="13">
      <filters>
        <filter val="PASS"/>
      </filters>
    </filterColumn>
  </autoFilter>
  <mergeCells count="10">
    <mergeCell ref="A1:O1"/>
    <mergeCell ref="A2:O2"/>
    <mergeCell ref="A3:A4"/>
    <mergeCell ref="B3:B4"/>
    <mergeCell ref="C3:C4"/>
    <mergeCell ref="D3:D4"/>
    <mergeCell ref="E3:E4"/>
    <mergeCell ref="F3:F4"/>
    <mergeCell ref="G3:G4"/>
    <mergeCell ref="O3:O4"/>
  </mergeCells>
  <printOptions horizontalCentered="1"/>
  <pageMargins left="0.4" right="0.32" top="0.53" bottom="0.59" header="0.3" footer="0.3"/>
  <pageSetup paperSize="8" scale="80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P30"/>
  <sheetViews>
    <sheetView zoomScale="85" zoomScaleNormal="85" workbookViewId="0">
      <selection activeCell="L39" sqref="L39"/>
    </sheetView>
  </sheetViews>
  <sheetFormatPr defaultRowHeight="15"/>
  <cols>
    <col min="1" max="1" width="6.5703125" style="6" bestFit="1" customWidth="1"/>
    <col min="2" max="2" width="16.28515625" style="6" customWidth="1"/>
    <col min="3" max="3" width="19.85546875" style="6" customWidth="1"/>
    <col min="4" max="4" width="44.5703125" style="6" customWidth="1"/>
    <col min="5" max="5" width="12.140625" style="9" customWidth="1"/>
    <col min="6" max="7" width="13.42578125" style="6" customWidth="1"/>
    <col min="8" max="8" width="17.85546875" style="6" customWidth="1"/>
    <col min="9" max="9" width="18.5703125" style="6" customWidth="1"/>
    <col min="10" max="10" width="18.85546875" style="6" customWidth="1"/>
    <col min="11" max="15" width="17.85546875" style="6" customWidth="1"/>
    <col min="16" max="16" width="8.5703125" style="7" bestFit="1" customWidth="1"/>
    <col min="17" max="16384" width="9.140625" style="6"/>
  </cols>
  <sheetData>
    <row r="1" spans="1:16" s="8" customFormat="1" ht="127.5" customHeight="1">
      <c r="A1" s="53" t="s">
        <v>1</v>
      </c>
      <c r="B1" s="53" t="s">
        <v>16</v>
      </c>
      <c r="C1" s="53" t="s">
        <v>12</v>
      </c>
      <c r="D1" s="53" t="s">
        <v>13</v>
      </c>
      <c r="E1" s="53" t="s">
        <v>14</v>
      </c>
      <c r="F1" s="53" t="s">
        <v>0</v>
      </c>
      <c r="G1" s="53" t="s">
        <v>31</v>
      </c>
      <c r="H1" s="1" t="s">
        <v>78</v>
      </c>
      <c r="I1" s="1" t="s">
        <v>79</v>
      </c>
      <c r="J1" s="1" t="s">
        <v>80</v>
      </c>
      <c r="K1" s="1" t="s">
        <v>745</v>
      </c>
      <c r="L1" s="1" t="s">
        <v>746</v>
      </c>
      <c r="M1" s="1" t="s">
        <v>747</v>
      </c>
      <c r="N1" s="1" t="s">
        <v>748</v>
      </c>
      <c r="O1" s="1" t="s">
        <v>10</v>
      </c>
      <c r="P1" s="55" t="s">
        <v>9</v>
      </c>
    </row>
    <row r="2" spans="1:16" s="8" customFormat="1" ht="29.25" customHeight="1">
      <c r="A2" s="54"/>
      <c r="B2" s="54"/>
      <c r="C2" s="54"/>
      <c r="D2" s="54"/>
      <c r="E2" s="54"/>
      <c r="F2" s="54"/>
      <c r="G2" s="54"/>
      <c r="H2" s="10">
        <v>3</v>
      </c>
      <c r="I2" s="10">
        <v>3</v>
      </c>
      <c r="J2" s="10">
        <v>4</v>
      </c>
      <c r="K2" s="10">
        <v>3</v>
      </c>
      <c r="L2" s="10">
        <v>3</v>
      </c>
      <c r="M2" s="10">
        <v>1</v>
      </c>
      <c r="N2" s="10">
        <v>1</v>
      </c>
      <c r="O2" s="10">
        <f>SUM(H2:N2)</f>
        <v>18</v>
      </c>
      <c r="P2" s="56"/>
    </row>
    <row r="3" spans="1:16" s="5" customFormat="1" ht="42" customHeight="1">
      <c r="A3" s="2">
        <v>1</v>
      </c>
      <c r="B3" s="12">
        <v>2544640814</v>
      </c>
      <c r="C3" s="12">
        <v>250371554001</v>
      </c>
      <c r="D3" s="13" t="s">
        <v>772</v>
      </c>
      <c r="E3" s="12" t="s">
        <v>20</v>
      </c>
      <c r="F3" s="19" t="s">
        <v>15</v>
      </c>
      <c r="G3" s="19" t="s">
        <v>34</v>
      </c>
      <c r="H3" s="20" t="s">
        <v>4</v>
      </c>
      <c r="I3" s="20" t="s">
        <v>3</v>
      </c>
      <c r="J3" s="20" t="s">
        <v>4</v>
      </c>
      <c r="K3" s="20" t="s">
        <v>1517</v>
      </c>
      <c r="L3" s="20" t="s">
        <v>5</v>
      </c>
      <c r="M3" s="20" t="s">
        <v>11</v>
      </c>
      <c r="N3" s="20" t="s">
        <v>11</v>
      </c>
      <c r="O3" s="11" t="s">
        <v>1517</v>
      </c>
      <c r="P3" s="4">
        <v>0</v>
      </c>
    </row>
    <row r="4" spans="1:16" s="5" customFormat="1" ht="42" customHeight="1">
      <c r="A4" s="2">
        <v>2</v>
      </c>
      <c r="B4" s="12">
        <v>2544640729</v>
      </c>
      <c r="C4" s="12">
        <v>250371554002</v>
      </c>
      <c r="D4" s="13" t="s">
        <v>773</v>
      </c>
      <c r="E4" s="12" t="s">
        <v>20</v>
      </c>
      <c r="F4" s="19" t="s">
        <v>15</v>
      </c>
      <c r="G4" s="19" t="s">
        <v>34</v>
      </c>
      <c r="H4" s="20" t="s">
        <v>4</v>
      </c>
      <c r="I4" s="20" t="s">
        <v>3</v>
      </c>
      <c r="J4" s="20" t="s">
        <v>4</v>
      </c>
      <c r="K4" s="20" t="s">
        <v>2</v>
      </c>
      <c r="L4" s="20" t="s">
        <v>7</v>
      </c>
      <c r="M4" s="20" t="s">
        <v>11</v>
      </c>
      <c r="N4" s="20" t="s">
        <v>2</v>
      </c>
      <c r="O4" s="11" t="s">
        <v>7</v>
      </c>
      <c r="P4" s="4">
        <v>0</v>
      </c>
    </row>
    <row r="5" spans="1:16" s="5" customFormat="1" ht="42" customHeight="1">
      <c r="A5" s="2">
        <v>3</v>
      </c>
      <c r="B5" s="12">
        <v>2544640860</v>
      </c>
      <c r="C5" s="12">
        <v>250371554003</v>
      </c>
      <c r="D5" s="13" t="s">
        <v>774</v>
      </c>
      <c r="E5" s="12" t="s">
        <v>20</v>
      </c>
      <c r="F5" s="19" t="s">
        <v>15</v>
      </c>
      <c r="G5" s="19" t="s">
        <v>34</v>
      </c>
      <c r="H5" s="20" t="s">
        <v>1516</v>
      </c>
      <c r="I5" s="20" t="s">
        <v>1516</v>
      </c>
      <c r="J5" s="20" t="s">
        <v>1516</v>
      </c>
      <c r="K5" s="20" t="s">
        <v>1516</v>
      </c>
      <c r="L5" s="20" t="s">
        <v>1516</v>
      </c>
      <c r="M5" s="20" t="s">
        <v>1516</v>
      </c>
      <c r="N5" s="20" t="s">
        <v>1516</v>
      </c>
      <c r="O5" s="11" t="s">
        <v>1516</v>
      </c>
      <c r="P5" s="4">
        <v>0</v>
      </c>
    </row>
    <row r="6" spans="1:16" s="5" customFormat="1" ht="42" customHeight="1">
      <c r="A6" s="2">
        <v>4</v>
      </c>
      <c r="B6" s="12">
        <v>2544640716</v>
      </c>
      <c r="C6" s="12">
        <v>250371554005</v>
      </c>
      <c r="D6" s="13" t="s">
        <v>775</v>
      </c>
      <c r="E6" s="12" t="s">
        <v>20</v>
      </c>
      <c r="F6" s="19" t="s">
        <v>15</v>
      </c>
      <c r="G6" s="19" t="s">
        <v>34</v>
      </c>
      <c r="H6" s="20" t="s">
        <v>4</v>
      </c>
      <c r="I6" s="20" t="s">
        <v>2</v>
      </c>
      <c r="J6" s="20" t="s">
        <v>4</v>
      </c>
      <c r="K6" s="20" t="s">
        <v>4</v>
      </c>
      <c r="L6" s="20" t="s">
        <v>5</v>
      </c>
      <c r="M6" s="20" t="s">
        <v>11</v>
      </c>
      <c r="N6" s="20" t="s">
        <v>6</v>
      </c>
      <c r="O6" s="11" t="s">
        <v>17</v>
      </c>
      <c r="P6" s="4">
        <v>6.8888888888888893</v>
      </c>
    </row>
    <row r="7" spans="1:16" s="5" customFormat="1" ht="42" customHeight="1">
      <c r="A7" s="2">
        <v>5</v>
      </c>
      <c r="B7" s="12">
        <v>2544640227</v>
      </c>
      <c r="C7" s="12">
        <v>250371554007</v>
      </c>
      <c r="D7" s="13" t="s">
        <v>776</v>
      </c>
      <c r="E7" s="12" t="s">
        <v>20</v>
      </c>
      <c r="F7" s="19" t="s">
        <v>15</v>
      </c>
      <c r="G7" s="19" t="s">
        <v>34</v>
      </c>
      <c r="H7" s="20" t="s">
        <v>4</v>
      </c>
      <c r="I7" s="20" t="s">
        <v>2</v>
      </c>
      <c r="J7" s="20" t="s">
        <v>2</v>
      </c>
      <c r="K7" s="20" t="s">
        <v>2</v>
      </c>
      <c r="L7" s="20" t="s">
        <v>4</v>
      </c>
      <c r="M7" s="20" t="s">
        <v>8</v>
      </c>
      <c r="N7" s="20" t="s">
        <v>4</v>
      </c>
      <c r="O7" s="11" t="s">
        <v>17</v>
      </c>
      <c r="P7" s="4">
        <v>8.2777777777777786</v>
      </c>
    </row>
    <row r="8" spans="1:16" s="5" customFormat="1" ht="42" customHeight="1">
      <c r="A8" s="2">
        <v>6</v>
      </c>
      <c r="B8" s="12">
        <v>2544640274</v>
      </c>
      <c r="C8" s="12">
        <v>250371554008</v>
      </c>
      <c r="D8" s="13" t="s">
        <v>777</v>
      </c>
      <c r="E8" s="12" t="s">
        <v>20</v>
      </c>
      <c r="F8" s="19" t="s">
        <v>15</v>
      </c>
      <c r="G8" s="19" t="s">
        <v>34</v>
      </c>
      <c r="H8" s="20" t="s">
        <v>4</v>
      </c>
      <c r="I8" s="20" t="s">
        <v>8</v>
      </c>
      <c r="J8" s="20" t="s">
        <v>3</v>
      </c>
      <c r="K8" s="20" t="s">
        <v>1517</v>
      </c>
      <c r="L8" s="20" t="s">
        <v>4</v>
      </c>
      <c r="M8" s="20" t="s">
        <v>11</v>
      </c>
      <c r="N8" s="20" t="s">
        <v>6</v>
      </c>
      <c r="O8" s="11" t="s">
        <v>1517</v>
      </c>
      <c r="P8" s="4">
        <v>0</v>
      </c>
    </row>
    <row r="9" spans="1:16" s="5" customFormat="1" ht="42" customHeight="1">
      <c r="A9" s="2">
        <v>7</v>
      </c>
      <c r="B9" s="12">
        <v>2544640140</v>
      </c>
      <c r="C9" s="12">
        <v>250371554011</v>
      </c>
      <c r="D9" s="13" t="s">
        <v>778</v>
      </c>
      <c r="E9" s="12" t="s">
        <v>20</v>
      </c>
      <c r="F9" s="19" t="s">
        <v>15</v>
      </c>
      <c r="G9" s="19" t="s">
        <v>34</v>
      </c>
      <c r="H9" s="20" t="s">
        <v>3</v>
      </c>
      <c r="I9" s="20" t="s">
        <v>8</v>
      </c>
      <c r="J9" s="20" t="s">
        <v>2</v>
      </c>
      <c r="K9" s="20" t="s">
        <v>8</v>
      </c>
      <c r="L9" s="20" t="s">
        <v>8</v>
      </c>
      <c r="M9" s="20" t="s">
        <v>8</v>
      </c>
      <c r="N9" s="20" t="s">
        <v>8</v>
      </c>
      <c r="O9" s="11" t="s">
        <v>17</v>
      </c>
      <c r="P9" s="4">
        <v>9.4444444444444446</v>
      </c>
    </row>
    <row r="10" spans="1:16" s="5" customFormat="1" ht="42" customHeight="1">
      <c r="A10" s="2">
        <v>8</v>
      </c>
      <c r="B10" s="12">
        <v>2544640421</v>
      </c>
      <c r="C10" s="12">
        <v>250371554012</v>
      </c>
      <c r="D10" s="13" t="s">
        <v>779</v>
      </c>
      <c r="E10" s="12" t="s">
        <v>20</v>
      </c>
      <c r="F10" s="19" t="s">
        <v>15</v>
      </c>
      <c r="G10" s="19" t="s">
        <v>34</v>
      </c>
      <c r="H10" s="20" t="s">
        <v>4</v>
      </c>
      <c r="I10" s="20" t="s">
        <v>8</v>
      </c>
      <c r="J10" s="20" t="s">
        <v>3</v>
      </c>
      <c r="K10" s="20" t="s">
        <v>2</v>
      </c>
      <c r="L10" s="20" t="s">
        <v>3</v>
      </c>
      <c r="M10" s="20" t="s">
        <v>11</v>
      </c>
      <c r="N10" s="20" t="s">
        <v>8</v>
      </c>
      <c r="O10" s="11" t="s">
        <v>17</v>
      </c>
      <c r="P10" s="4">
        <v>8.2222222222222214</v>
      </c>
    </row>
    <row r="11" spans="1:16" s="5" customFormat="1" ht="42" customHeight="1">
      <c r="A11" s="2">
        <v>9</v>
      </c>
      <c r="B11" s="12">
        <v>2544640888</v>
      </c>
      <c r="C11" s="12">
        <v>250371554014</v>
      </c>
      <c r="D11" s="13" t="s">
        <v>780</v>
      </c>
      <c r="E11" s="12" t="s">
        <v>20</v>
      </c>
      <c r="F11" s="19" t="s">
        <v>15</v>
      </c>
      <c r="G11" s="19" t="s">
        <v>34</v>
      </c>
      <c r="H11" s="20" t="s">
        <v>3</v>
      </c>
      <c r="I11" s="20" t="s">
        <v>2</v>
      </c>
      <c r="J11" s="20" t="s">
        <v>3</v>
      </c>
      <c r="K11" s="20" t="s">
        <v>4</v>
      </c>
      <c r="L11" s="20" t="s">
        <v>3</v>
      </c>
      <c r="M11" s="20" t="s">
        <v>3</v>
      </c>
      <c r="N11" s="20" t="s">
        <v>8</v>
      </c>
      <c r="O11" s="11" t="s">
        <v>17</v>
      </c>
      <c r="P11" s="4">
        <v>8.1111111111111107</v>
      </c>
    </row>
    <row r="12" spans="1:16" s="5" customFormat="1" ht="42" customHeight="1">
      <c r="A12" s="2">
        <v>10</v>
      </c>
      <c r="B12" s="12">
        <v>2544640616</v>
      </c>
      <c r="C12" s="12">
        <v>250371554018</v>
      </c>
      <c r="D12" s="13" t="s">
        <v>781</v>
      </c>
      <c r="E12" s="12" t="s">
        <v>20</v>
      </c>
      <c r="F12" s="19" t="s">
        <v>15</v>
      </c>
      <c r="G12" s="19" t="s">
        <v>34</v>
      </c>
      <c r="H12" s="20" t="s">
        <v>5</v>
      </c>
      <c r="I12" s="20" t="s">
        <v>2</v>
      </c>
      <c r="J12" s="20" t="s">
        <v>4</v>
      </c>
      <c r="K12" s="20" t="s">
        <v>4</v>
      </c>
      <c r="L12" s="20" t="s">
        <v>4</v>
      </c>
      <c r="M12" s="20" t="s">
        <v>11</v>
      </c>
      <c r="N12" s="20" t="s">
        <v>11</v>
      </c>
      <c r="O12" s="11" t="s">
        <v>17</v>
      </c>
      <c r="P12" s="4">
        <v>6.833333333333333</v>
      </c>
    </row>
    <row r="13" spans="1:16" s="5" customFormat="1" ht="42" customHeight="1">
      <c r="A13" s="2">
        <v>11</v>
      </c>
      <c r="B13" s="12">
        <v>2544641065</v>
      </c>
      <c r="C13" s="12">
        <v>250371554020</v>
      </c>
      <c r="D13" s="13" t="s">
        <v>782</v>
      </c>
      <c r="E13" s="12" t="s">
        <v>20</v>
      </c>
      <c r="F13" s="19" t="s">
        <v>15</v>
      </c>
      <c r="G13" s="19" t="s">
        <v>34</v>
      </c>
      <c r="H13" s="20" t="s">
        <v>4</v>
      </c>
      <c r="I13" s="20" t="s">
        <v>8</v>
      </c>
      <c r="J13" s="20" t="s">
        <v>3</v>
      </c>
      <c r="K13" s="20" t="s">
        <v>2</v>
      </c>
      <c r="L13" s="20" t="s">
        <v>2</v>
      </c>
      <c r="M13" s="20" t="s">
        <v>8</v>
      </c>
      <c r="N13" s="20" t="s">
        <v>8</v>
      </c>
      <c r="O13" s="11" t="s">
        <v>17</v>
      </c>
      <c r="P13" s="4">
        <v>8.7222222222222214</v>
      </c>
    </row>
    <row r="14" spans="1:16" s="5" customFormat="1" ht="42" customHeight="1">
      <c r="A14" s="2">
        <v>12</v>
      </c>
      <c r="B14" s="12">
        <v>2544640509</v>
      </c>
      <c r="C14" s="12">
        <v>250371554022</v>
      </c>
      <c r="D14" s="13" t="s">
        <v>783</v>
      </c>
      <c r="E14" s="12" t="s">
        <v>20</v>
      </c>
      <c r="F14" s="19" t="s">
        <v>15</v>
      </c>
      <c r="G14" s="19" t="s">
        <v>34</v>
      </c>
      <c r="H14" s="20" t="s">
        <v>5</v>
      </c>
      <c r="I14" s="20" t="s">
        <v>3</v>
      </c>
      <c r="J14" s="20" t="s">
        <v>4</v>
      </c>
      <c r="K14" s="20" t="s">
        <v>6</v>
      </c>
      <c r="L14" s="20" t="s">
        <v>5</v>
      </c>
      <c r="M14" s="20" t="s">
        <v>11</v>
      </c>
      <c r="N14" s="20" t="s">
        <v>3</v>
      </c>
      <c r="O14" s="11" t="s">
        <v>17</v>
      </c>
      <c r="P14" s="4">
        <v>6.3888888888888893</v>
      </c>
    </row>
    <row r="15" spans="1:16" s="5" customFormat="1" ht="42" customHeight="1">
      <c r="A15" s="2">
        <v>13</v>
      </c>
      <c r="B15" s="12">
        <v>2544640577</v>
      </c>
      <c r="C15" s="12">
        <v>250371554023</v>
      </c>
      <c r="D15" s="13" t="s">
        <v>784</v>
      </c>
      <c r="E15" s="12" t="s">
        <v>20</v>
      </c>
      <c r="F15" s="19" t="s">
        <v>15</v>
      </c>
      <c r="G15" s="19" t="s">
        <v>34</v>
      </c>
      <c r="H15" s="20" t="s">
        <v>4</v>
      </c>
      <c r="I15" s="20" t="s">
        <v>4</v>
      </c>
      <c r="J15" s="20" t="s">
        <v>3</v>
      </c>
      <c r="K15" s="20" t="s">
        <v>3</v>
      </c>
      <c r="L15" s="20" t="s">
        <v>3</v>
      </c>
      <c r="M15" s="20" t="s">
        <v>11</v>
      </c>
      <c r="N15" s="20" t="s">
        <v>8</v>
      </c>
      <c r="O15" s="11" t="s">
        <v>17</v>
      </c>
      <c r="P15" s="4">
        <v>7.5555555555555554</v>
      </c>
    </row>
    <row r="16" spans="1:16" s="5" customFormat="1" ht="42" customHeight="1">
      <c r="A16" s="2">
        <v>14</v>
      </c>
      <c r="B16" s="12">
        <v>2544640611</v>
      </c>
      <c r="C16" s="12">
        <v>250371554027</v>
      </c>
      <c r="D16" s="13" t="s">
        <v>785</v>
      </c>
      <c r="E16" s="12" t="s">
        <v>20</v>
      </c>
      <c r="F16" s="19" t="s">
        <v>15</v>
      </c>
      <c r="G16" s="19" t="s">
        <v>34</v>
      </c>
      <c r="H16" s="20" t="s">
        <v>6</v>
      </c>
      <c r="I16" s="20" t="s">
        <v>4</v>
      </c>
      <c r="J16" s="20" t="s">
        <v>5</v>
      </c>
      <c r="K16" s="20" t="s">
        <v>4</v>
      </c>
      <c r="L16" s="20" t="s">
        <v>5</v>
      </c>
      <c r="M16" s="20" t="s">
        <v>11</v>
      </c>
      <c r="N16" s="20" t="s">
        <v>11</v>
      </c>
      <c r="O16" s="11" t="s">
        <v>17</v>
      </c>
      <c r="P16" s="4">
        <v>5.9444444444444446</v>
      </c>
    </row>
    <row r="17" spans="1:16" s="5" customFormat="1" ht="42" customHeight="1">
      <c r="A17" s="2">
        <v>15</v>
      </c>
      <c r="B17" s="12">
        <v>2544640556</v>
      </c>
      <c r="C17" s="12">
        <v>250371554029</v>
      </c>
      <c r="D17" s="13" t="s">
        <v>786</v>
      </c>
      <c r="E17" s="12" t="s">
        <v>20</v>
      </c>
      <c r="F17" s="19" t="s">
        <v>15</v>
      </c>
      <c r="G17" s="19" t="s">
        <v>34</v>
      </c>
      <c r="H17" s="20" t="s">
        <v>5</v>
      </c>
      <c r="I17" s="20" t="s">
        <v>4</v>
      </c>
      <c r="J17" s="20" t="s">
        <v>6</v>
      </c>
      <c r="K17" s="20" t="s">
        <v>5</v>
      </c>
      <c r="L17" s="20" t="s">
        <v>5</v>
      </c>
      <c r="M17" s="20" t="s">
        <v>11</v>
      </c>
      <c r="N17" s="20" t="s">
        <v>2</v>
      </c>
      <c r="O17" s="11" t="s">
        <v>17</v>
      </c>
      <c r="P17" s="4">
        <v>6</v>
      </c>
    </row>
    <row r="18" spans="1:16" s="5" customFormat="1" ht="42" customHeight="1">
      <c r="A18" s="2">
        <v>16</v>
      </c>
      <c r="B18" s="12">
        <v>2544640829</v>
      </c>
      <c r="C18" s="12">
        <v>250371554030</v>
      </c>
      <c r="D18" s="13" t="s">
        <v>787</v>
      </c>
      <c r="E18" s="12" t="s">
        <v>20</v>
      </c>
      <c r="F18" s="19" t="s">
        <v>15</v>
      </c>
      <c r="G18" s="19" t="s">
        <v>34</v>
      </c>
      <c r="H18" s="20" t="s">
        <v>4</v>
      </c>
      <c r="I18" s="20" t="s">
        <v>8</v>
      </c>
      <c r="J18" s="20" t="s">
        <v>4</v>
      </c>
      <c r="K18" s="20" t="s">
        <v>4</v>
      </c>
      <c r="L18" s="20" t="s">
        <v>4</v>
      </c>
      <c r="M18" s="20" t="s">
        <v>11</v>
      </c>
      <c r="N18" s="20" t="s">
        <v>6</v>
      </c>
      <c r="O18" s="11" t="s">
        <v>17</v>
      </c>
      <c r="P18" s="4">
        <v>7.2222222222222223</v>
      </c>
    </row>
    <row r="19" spans="1:16" s="5" customFormat="1" ht="42" customHeight="1">
      <c r="A19" s="2">
        <v>17</v>
      </c>
      <c r="B19" s="12">
        <v>2544641118</v>
      </c>
      <c r="C19" s="12">
        <v>250371554033</v>
      </c>
      <c r="D19" s="13" t="s">
        <v>788</v>
      </c>
      <c r="E19" s="12" t="s">
        <v>20</v>
      </c>
      <c r="F19" s="19" t="s">
        <v>15</v>
      </c>
      <c r="G19" s="19" t="s">
        <v>34</v>
      </c>
      <c r="H19" s="20" t="s">
        <v>5</v>
      </c>
      <c r="I19" s="20" t="s">
        <v>1517</v>
      </c>
      <c r="J19" s="20" t="s">
        <v>4</v>
      </c>
      <c r="K19" s="20" t="s">
        <v>5</v>
      </c>
      <c r="L19" s="20" t="s">
        <v>5</v>
      </c>
      <c r="M19" s="20" t="s">
        <v>11</v>
      </c>
      <c r="N19" s="20" t="s">
        <v>6</v>
      </c>
      <c r="O19" s="11" t="s">
        <v>1517</v>
      </c>
      <c r="P19" s="4">
        <v>0</v>
      </c>
    </row>
    <row r="20" spans="1:16" s="5" customFormat="1" ht="42" customHeight="1">
      <c r="A20" s="2">
        <v>18</v>
      </c>
      <c r="B20" s="12">
        <v>2544640183</v>
      </c>
      <c r="C20" s="12">
        <v>250371554035</v>
      </c>
      <c r="D20" s="13" t="s">
        <v>789</v>
      </c>
      <c r="E20" s="12" t="s">
        <v>20</v>
      </c>
      <c r="F20" s="19" t="s">
        <v>15</v>
      </c>
      <c r="G20" s="19" t="s">
        <v>34</v>
      </c>
      <c r="H20" s="20" t="s">
        <v>4</v>
      </c>
      <c r="I20" s="20" t="s">
        <v>2</v>
      </c>
      <c r="J20" s="20" t="s">
        <v>3</v>
      </c>
      <c r="K20" s="20" t="s">
        <v>3</v>
      </c>
      <c r="L20" s="20" t="s">
        <v>3</v>
      </c>
      <c r="M20" s="20" t="s">
        <v>11</v>
      </c>
      <c r="N20" s="20" t="s">
        <v>8</v>
      </c>
      <c r="O20" s="11" t="s">
        <v>17</v>
      </c>
      <c r="P20" s="4">
        <v>7.8888888888888893</v>
      </c>
    </row>
    <row r="21" spans="1:16" s="5" customFormat="1" ht="42" customHeight="1">
      <c r="A21" s="2">
        <v>19</v>
      </c>
      <c r="B21" s="12">
        <v>2544640523</v>
      </c>
      <c r="C21" s="12">
        <v>250371554036</v>
      </c>
      <c r="D21" s="13" t="s">
        <v>790</v>
      </c>
      <c r="E21" s="12" t="s">
        <v>20</v>
      </c>
      <c r="F21" s="19" t="s">
        <v>15</v>
      </c>
      <c r="G21" s="19" t="s">
        <v>34</v>
      </c>
      <c r="H21" s="20" t="s">
        <v>4</v>
      </c>
      <c r="I21" s="20" t="s">
        <v>2</v>
      </c>
      <c r="J21" s="20" t="s">
        <v>3</v>
      </c>
      <c r="K21" s="20" t="s">
        <v>3</v>
      </c>
      <c r="L21" s="20" t="s">
        <v>5</v>
      </c>
      <c r="M21" s="20" t="s">
        <v>11</v>
      </c>
      <c r="N21" s="20" t="s">
        <v>4</v>
      </c>
      <c r="O21" s="11" t="s">
        <v>17</v>
      </c>
      <c r="P21" s="4">
        <v>7.3888888888888893</v>
      </c>
    </row>
    <row r="22" spans="1:16" s="5" customFormat="1" ht="42" customHeight="1">
      <c r="A22" s="2">
        <v>20</v>
      </c>
      <c r="B22" s="12">
        <v>2544640427</v>
      </c>
      <c r="C22" s="12">
        <v>250371554037</v>
      </c>
      <c r="D22" s="13" t="s">
        <v>791</v>
      </c>
      <c r="E22" s="12" t="s">
        <v>20</v>
      </c>
      <c r="F22" s="19" t="s">
        <v>15</v>
      </c>
      <c r="G22" s="19" t="s">
        <v>34</v>
      </c>
      <c r="H22" s="20" t="s">
        <v>4</v>
      </c>
      <c r="I22" s="20" t="s">
        <v>3</v>
      </c>
      <c r="J22" s="20" t="s">
        <v>3</v>
      </c>
      <c r="K22" s="20" t="s">
        <v>3</v>
      </c>
      <c r="L22" s="20" t="s">
        <v>5</v>
      </c>
      <c r="M22" s="20" t="s">
        <v>11</v>
      </c>
      <c r="N22" s="20" t="s">
        <v>8</v>
      </c>
      <c r="O22" s="11" t="s">
        <v>17</v>
      </c>
      <c r="P22" s="4">
        <v>7.3888888888888893</v>
      </c>
    </row>
    <row r="23" spans="1:16" s="5" customFormat="1" ht="42" customHeight="1">
      <c r="A23" s="2">
        <v>21</v>
      </c>
      <c r="B23" s="12">
        <v>2544640571</v>
      </c>
      <c r="C23" s="12">
        <v>250371554039</v>
      </c>
      <c r="D23" s="13" t="s">
        <v>792</v>
      </c>
      <c r="E23" s="12" t="s">
        <v>20</v>
      </c>
      <c r="F23" s="19" t="s">
        <v>15</v>
      </c>
      <c r="G23" s="19" t="s">
        <v>34</v>
      </c>
      <c r="H23" s="20" t="s">
        <v>3</v>
      </c>
      <c r="I23" s="20" t="s">
        <v>2</v>
      </c>
      <c r="J23" s="20" t="s">
        <v>5</v>
      </c>
      <c r="K23" s="20" t="s">
        <v>3</v>
      </c>
      <c r="L23" s="20" t="s">
        <v>6</v>
      </c>
      <c r="M23" s="20" t="s">
        <v>11</v>
      </c>
      <c r="N23" s="20" t="s">
        <v>8</v>
      </c>
      <c r="O23" s="11" t="s">
        <v>17</v>
      </c>
      <c r="P23" s="4">
        <v>7.1111111111111107</v>
      </c>
    </row>
    <row r="24" spans="1:16" s="5" customFormat="1" ht="42" customHeight="1">
      <c r="A24" s="2">
        <v>22</v>
      </c>
      <c r="B24" s="12">
        <v>2544640555</v>
      </c>
      <c r="C24" s="12">
        <v>250371554040</v>
      </c>
      <c r="D24" s="13" t="s">
        <v>793</v>
      </c>
      <c r="E24" s="12" t="s">
        <v>20</v>
      </c>
      <c r="F24" s="19" t="s">
        <v>15</v>
      </c>
      <c r="G24" s="19" t="s">
        <v>34</v>
      </c>
      <c r="H24" s="20" t="s">
        <v>4</v>
      </c>
      <c r="I24" s="20" t="s">
        <v>8</v>
      </c>
      <c r="J24" s="20" t="s">
        <v>3</v>
      </c>
      <c r="K24" s="20" t="s">
        <v>2</v>
      </c>
      <c r="L24" s="20" t="s">
        <v>3</v>
      </c>
      <c r="M24" s="20" t="s">
        <v>3</v>
      </c>
      <c r="N24" s="20" t="s">
        <v>8</v>
      </c>
      <c r="O24" s="11" t="s">
        <v>17</v>
      </c>
      <c r="P24" s="4">
        <v>8.4444444444444446</v>
      </c>
    </row>
    <row r="25" spans="1:16" s="5" customFormat="1" ht="42" customHeight="1">
      <c r="A25" s="2">
        <v>23</v>
      </c>
      <c r="B25" s="12">
        <v>2544640669</v>
      </c>
      <c r="C25" s="12">
        <v>250371554042</v>
      </c>
      <c r="D25" s="13" t="s">
        <v>794</v>
      </c>
      <c r="E25" s="12" t="s">
        <v>20</v>
      </c>
      <c r="F25" s="19" t="s">
        <v>15</v>
      </c>
      <c r="G25" s="19" t="s">
        <v>34</v>
      </c>
      <c r="H25" s="20" t="s">
        <v>4</v>
      </c>
      <c r="I25" s="20" t="s">
        <v>2</v>
      </c>
      <c r="J25" s="20" t="s">
        <v>3</v>
      </c>
      <c r="K25" s="20" t="s">
        <v>4</v>
      </c>
      <c r="L25" s="20" t="s">
        <v>1517</v>
      </c>
      <c r="M25" s="20" t="s">
        <v>11</v>
      </c>
      <c r="N25" s="20" t="s">
        <v>6</v>
      </c>
      <c r="O25" s="11" t="s">
        <v>1517</v>
      </c>
      <c r="P25" s="4">
        <v>0</v>
      </c>
    </row>
    <row r="26" spans="1:16" s="5" customFormat="1" ht="42" customHeight="1">
      <c r="A26" s="2">
        <v>24</v>
      </c>
      <c r="B26" s="12">
        <v>2544640557</v>
      </c>
      <c r="C26" s="12">
        <v>250371554043</v>
      </c>
      <c r="D26" s="13" t="s">
        <v>795</v>
      </c>
      <c r="E26" s="12" t="s">
        <v>20</v>
      </c>
      <c r="F26" s="19" t="s">
        <v>15</v>
      </c>
      <c r="G26" s="19" t="s">
        <v>34</v>
      </c>
      <c r="H26" s="20" t="s">
        <v>4</v>
      </c>
      <c r="I26" s="20" t="s">
        <v>3</v>
      </c>
      <c r="J26" s="20" t="s">
        <v>4</v>
      </c>
      <c r="K26" s="20" t="s">
        <v>4</v>
      </c>
      <c r="L26" s="20" t="s">
        <v>5</v>
      </c>
      <c r="M26" s="20" t="s">
        <v>11</v>
      </c>
      <c r="N26" s="20" t="s">
        <v>3</v>
      </c>
      <c r="O26" s="11" t="s">
        <v>17</v>
      </c>
      <c r="P26" s="4">
        <v>6.8888888888888893</v>
      </c>
    </row>
    <row r="27" spans="1:16" s="5" customFormat="1" ht="42" customHeight="1">
      <c r="A27" s="2">
        <v>25</v>
      </c>
      <c r="B27" s="12">
        <v>2544640440</v>
      </c>
      <c r="C27" s="12">
        <v>250371554044</v>
      </c>
      <c r="D27" s="13" t="s">
        <v>796</v>
      </c>
      <c r="E27" s="12" t="s">
        <v>20</v>
      </c>
      <c r="F27" s="19" t="s">
        <v>15</v>
      </c>
      <c r="G27" s="19" t="s">
        <v>34</v>
      </c>
      <c r="H27" s="20" t="s">
        <v>6</v>
      </c>
      <c r="I27" s="20" t="s">
        <v>8</v>
      </c>
      <c r="J27" s="20" t="s">
        <v>3</v>
      </c>
      <c r="K27" s="20" t="s">
        <v>3</v>
      </c>
      <c r="L27" s="20" t="s">
        <v>1517</v>
      </c>
      <c r="M27" s="20" t="s">
        <v>8</v>
      </c>
      <c r="N27" s="20" t="s">
        <v>2</v>
      </c>
      <c r="O27" s="11" t="s">
        <v>1517</v>
      </c>
      <c r="P27" s="4">
        <v>0</v>
      </c>
    </row>
    <row r="28" spans="1:16" s="5" customFormat="1" ht="42" customHeight="1">
      <c r="A28" s="2">
        <v>26</v>
      </c>
      <c r="B28" s="12">
        <v>2544641046</v>
      </c>
      <c r="C28" s="12">
        <v>250371554045</v>
      </c>
      <c r="D28" s="13" t="s">
        <v>797</v>
      </c>
      <c r="E28" s="12" t="s">
        <v>20</v>
      </c>
      <c r="F28" s="19" t="s">
        <v>15</v>
      </c>
      <c r="G28" s="19" t="s">
        <v>34</v>
      </c>
      <c r="H28" s="20" t="s">
        <v>4</v>
      </c>
      <c r="I28" s="20" t="s">
        <v>2</v>
      </c>
      <c r="J28" s="20" t="s">
        <v>4</v>
      </c>
      <c r="K28" s="20" t="s">
        <v>4</v>
      </c>
      <c r="L28" s="20" t="s">
        <v>5</v>
      </c>
      <c r="M28" s="20" t="s">
        <v>11</v>
      </c>
      <c r="N28" s="20" t="s">
        <v>11</v>
      </c>
      <c r="O28" s="11" t="s">
        <v>17</v>
      </c>
      <c r="P28" s="4">
        <v>6.833333333333333</v>
      </c>
    </row>
    <row r="29" spans="1:16" s="5" customFormat="1" ht="42" customHeight="1">
      <c r="A29" s="2">
        <v>27</v>
      </c>
      <c r="B29" s="12">
        <v>2544641087</v>
      </c>
      <c r="C29" s="12">
        <v>250371554046</v>
      </c>
      <c r="D29" s="13" t="s">
        <v>798</v>
      </c>
      <c r="E29" s="12" t="s">
        <v>20</v>
      </c>
      <c r="F29" s="19" t="s">
        <v>15</v>
      </c>
      <c r="G29" s="19" t="s">
        <v>34</v>
      </c>
      <c r="H29" s="20" t="s">
        <v>5</v>
      </c>
      <c r="I29" s="20" t="s">
        <v>3</v>
      </c>
      <c r="J29" s="20" t="s">
        <v>4</v>
      </c>
      <c r="K29" s="20" t="s">
        <v>1517</v>
      </c>
      <c r="L29" s="20" t="s">
        <v>5</v>
      </c>
      <c r="M29" s="20" t="s">
        <v>11</v>
      </c>
      <c r="N29" s="20" t="s">
        <v>11</v>
      </c>
      <c r="O29" s="11" t="s">
        <v>1517</v>
      </c>
      <c r="P29" s="4">
        <v>0</v>
      </c>
    </row>
    <row r="30" spans="1:16" s="5" customFormat="1" ht="42" customHeight="1">
      <c r="A30" s="2">
        <v>28</v>
      </c>
      <c r="B30" s="12">
        <v>2544640545</v>
      </c>
      <c r="C30" s="12">
        <v>250371554048</v>
      </c>
      <c r="D30" s="13" t="s">
        <v>799</v>
      </c>
      <c r="E30" s="12" t="s">
        <v>20</v>
      </c>
      <c r="F30" s="19" t="s">
        <v>15</v>
      </c>
      <c r="G30" s="19" t="s">
        <v>34</v>
      </c>
      <c r="H30" s="20" t="s">
        <v>1516</v>
      </c>
      <c r="I30" s="20" t="s">
        <v>1516</v>
      </c>
      <c r="J30" s="20" t="s">
        <v>1516</v>
      </c>
      <c r="K30" s="20" t="s">
        <v>1516</v>
      </c>
      <c r="L30" s="20" t="s">
        <v>1516</v>
      </c>
      <c r="M30" s="20" t="s">
        <v>1516</v>
      </c>
      <c r="N30" s="20" t="s">
        <v>1516</v>
      </c>
      <c r="O30" s="11" t="s">
        <v>1516</v>
      </c>
      <c r="P30" s="4">
        <v>0</v>
      </c>
    </row>
  </sheetData>
  <autoFilter ref="A1:P30">
    <filterColumn colId="6"/>
    <filterColumn colId="10"/>
    <filterColumn colId="11"/>
    <filterColumn colId="12"/>
    <filterColumn colId="13"/>
  </autoFilter>
  <mergeCells count="8">
    <mergeCell ref="G1:G2"/>
    <mergeCell ref="P1:P2"/>
    <mergeCell ref="A1:A2"/>
    <mergeCell ref="B1:B2"/>
    <mergeCell ref="C1:C2"/>
    <mergeCell ref="D1:D2"/>
    <mergeCell ref="E1:E2"/>
    <mergeCell ref="F1:F2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P25"/>
  <sheetViews>
    <sheetView topLeftCell="D1" zoomScale="115" zoomScaleNormal="115" workbookViewId="0">
      <selection activeCell="L39" sqref="L39"/>
    </sheetView>
  </sheetViews>
  <sheetFormatPr defaultRowHeight="15"/>
  <cols>
    <col min="1" max="1" width="6.5703125" style="6" bestFit="1" customWidth="1"/>
    <col min="2" max="2" width="16.28515625" style="6" customWidth="1"/>
    <col min="3" max="3" width="18.28515625" style="6" bestFit="1" customWidth="1"/>
    <col min="4" max="4" width="44.5703125" style="6" customWidth="1"/>
    <col min="5" max="5" width="12.140625" style="9" customWidth="1"/>
    <col min="6" max="7" width="13.42578125" style="6" customWidth="1"/>
    <col min="8" max="8" width="17.85546875" style="6" customWidth="1"/>
    <col min="9" max="9" width="18.5703125" style="6" customWidth="1"/>
    <col min="10" max="10" width="18.85546875" style="6" customWidth="1"/>
    <col min="11" max="15" width="17.85546875" style="6" customWidth="1"/>
    <col min="16" max="16" width="9.140625" style="7" customWidth="1"/>
    <col min="17" max="16384" width="9.140625" style="6"/>
  </cols>
  <sheetData>
    <row r="1" spans="1:16" s="8" customFormat="1" ht="127.5" customHeight="1">
      <c r="A1" s="53" t="s">
        <v>1</v>
      </c>
      <c r="B1" s="53" t="s">
        <v>16</v>
      </c>
      <c r="C1" s="53" t="s">
        <v>12</v>
      </c>
      <c r="D1" s="53" t="s">
        <v>13</v>
      </c>
      <c r="E1" s="53" t="s">
        <v>14</v>
      </c>
      <c r="F1" s="53" t="s">
        <v>0</v>
      </c>
      <c r="G1" s="53" t="s">
        <v>31</v>
      </c>
      <c r="H1" s="1" t="s">
        <v>78</v>
      </c>
      <c r="I1" s="1" t="s">
        <v>83</v>
      </c>
      <c r="J1" s="1" t="s">
        <v>80</v>
      </c>
      <c r="K1" s="1" t="s">
        <v>745</v>
      </c>
      <c r="L1" s="1" t="s">
        <v>746</v>
      </c>
      <c r="M1" s="1" t="s">
        <v>747</v>
      </c>
      <c r="N1" s="1" t="s">
        <v>748</v>
      </c>
      <c r="O1" s="1" t="s">
        <v>10</v>
      </c>
      <c r="P1" s="55" t="s">
        <v>9</v>
      </c>
    </row>
    <row r="2" spans="1:16" s="8" customFormat="1" ht="29.25" customHeight="1">
      <c r="A2" s="54"/>
      <c r="B2" s="54"/>
      <c r="C2" s="54"/>
      <c r="D2" s="54"/>
      <c r="E2" s="54"/>
      <c r="F2" s="54"/>
      <c r="G2" s="54"/>
      <c r="H2" s="10">
        <v>3</v>
      </c>
      <c r="I2" s="10">
        <v>3</v>
      </c>
      <c r="J2" s="10">
        <v>4</v>
      </c>
      <c r="K2" s="10">
        <v>3</v>
      </c>
      <c r="L2" s="10">
        <v>3</v>
      </c>
      <c r="M2" s="10">
        <v>1</v>
      </c>
      <c r="N2" s="10">
        <v>1</v>
      </c>
      <c r="O2" s="10">
        <f>SUM(H2:N2)</f>
        <v>18</v>
      </c>
      <c r="P2" s="56"/>
    </row>
    <row r="3" spans="1:16" s="5" customFormat="1" ht="42" customHeight="1">
      <c r="A3" s="2">
        <v>1</v>
      </c>
      <c r="B3" s="12">
        <v>2544640414</v>
      </c>
      <c r="C3" s="12">
        <v>250371554004</v>
      </c>
      <c r="D3" s="13" t="s">
        <v>749</v>
      </c>
      <c r="E3" s="12" t="s">
        <v>20</v>
      </c>
      <c r="F3" s="19" t="s">
        <v>15</v>
      </c>
      <c r="G3" s="19" t="s">
        <v>85</v>
      </c>
      <c r="H3" s="20" t="s">
        <v>5</v>
      </c>
      <c r="I3" s="20" t="s">
        <v>7</v>
      </c>
      <c r="J3" s="20" t="s">
        <v>4</v>
      </c>
      <c r="K3" s="20" t="s">
        <v>4</v>
      </c>
      <c r="L3" s="20" t="s">
        <v>6</v>
      </c>
      <c r="M3" s="20" t="s">
        <v>11</v>
      </c>
      <c r="N3" s="20" t="s">
        <v>6</v>
      </c>
      <c r="O3" s="11" t="s">
        <v>7</v>
      </c>
      <c r="P3" s="4">
        <v>0</v>
      </c>
    </row>
    <row r="4" spans="1:16" s="5" customFormat="1" ht="42" customHeight="1">
      <c r="A4" s="2">
        <v>2</v>
      </c>
      <c r="B4" s="12">
        <v>2544641072</v>
      </c>
      <c r="C4" s="12">
        <v>250371554006</v>
      </c>
      <c r="D4" s="13" t="s">
        <v>750</v>
      </c>
      <c r="E4" s="12" t="s">
        <v>20</v>
      </c>
      <c r="F4" s="19" t="s">
        <v>15</v>
      </c>
      <c r="G4" s="19" t="s">
        <v>85</v>
      </c>
      <c r="H4" s="20" t="s">
        <v>4</v>
      </c>
      <c r="I4" s="20" t="s">
        <v>6</v>
      </c>
      <c r="J4" s="20" t="s">
        <v>4</v>
      </c>
      <c r="K4" s="20" t="s">
        <v>3</v>
      </c>
      <c r="L4" s="20" t="s">
        <v>4</v>
      </c>
      <c r="M4" s="20" t="s">
        <v>11</v>
      </c>
      <c r="N4" s="20" t="s">
        <v>11</v>
      </c>
      <c r="O4" s="11" t="s">
        <v>17</v>
      </c>
      <c r="P4" s="4">
        <v>6.5</v>
      </c>
    </row>
    <row r="5" spans="1:16" s="5" customFormat="1" ht="42" customHeight="1">
      <c r="A5" s="2">
        <v>3</v>
      </c>
      <c r="B5" s="12">
        <v>2544640218</v>
      </c>
      <c r="C5" s="12">
        <v>250371554009</v>
      </c>
      <c r="D5" s="13" t="s">
        <v>751</v>
      </c>
      <c r="E5" s="12" t="s">
        <v>20</v>
      </c>
      <c r="F5" s="19" t="s">
        <v>15</v>
      </c>
      <c r="G5" s="19" t="s">
        <v>85</v>
      </c>
      <c r="H5" s="20" t="s">
        <v>5</v>
      </c>
      <c r="I5" s="20" t="s">
        <v>6</v>
      </c>
      <c r="J5" s="20" t="s">
        <v>4</v>
      </c>
      <c r="K5" s="20" t="s">
        <v>1517</v>
      </c>
      <c r="L5" s="20" t="s">
        <v>7</v>
      </c>
      <c r="M5" s="20" t="s">
        <v>11</v>
      </c>
      <c r="N5" s="20" t="s">
        <v>4</v>
      </c>
      <c r="O5" s="11" t="s">
        <v>1517</v>
      </c>
      <c r="P5" s="4">
        <v>0</v>
      </c>
    </row>
    <row r="6" spans="1:16" s="5" customFormat="1" ht="42" customHeight="1">
      <c r="A6" s="2">
        <v>4</v>
      </c>
      <c r="B6" s="12">
        <v>2544641082</v>
      </c>
      <c r="C6" s="12">
        <v>250371554010</v>
      </c>
      <c r="D6" s="13" t="s">
        <v>752</v>
      </c>
      <c r="E6" s="12" t="s">
        <v>20</v>
      </c>
      <c r="F6" s="19" t="s">
        <v>15</v>
      </c>
      <c r="G6" s="19" t="s">
        <v>85</v>
      </c>
      <c r="H6" s="20" t="s">
        <v>6</v>
      </c>
      <c r="I6" s="20" t="s">
        <v>11</v>
      </c>
      <c r="J6" s="20" t="s">
        <v>4</v>
      </c>
      <c r="K6" s="20" t="s">
        <v>3</v>
      </c>
      <c r="L6" s="20" t="s">
        <v>4</v>
      </c>
      <c r="M6" s="20" t="s">
        <v>11</v>
      </c>
      <c r="N6" s="20" t="s">
        <v>8</v>
      </c>
      <c r="O6" s="11" t="s">
        <v>17</v>
      </c>
      <c r="P6" s="4">
        <v>6.333333333333333</v>
      </c>
    </row>
    <row r="7" spans="1:16" s="5" customFormat="1" ht="42" customHeight="1">
      <c r="A7" s="2">
        <v>5</v>
      </c>
      <c r="B7" s="12">
        <v>2544640221</v>
      </c>
      <c r="C7" s="12">
        <v>250371554013</v>
      </c>
      <c r="D7" s="13" t="s">
        <v>753</v>
      </c>
      <c r="E7" s="12" t="s">
        <v>20</v>
      </c>
      <c r="F7" s="19" t="s">
        <v>15</v>
      </c>
      <c r="G7" s="19" t="s">
        <v>85</v>
      </c>
      <c r="H7" s="20" t="s">
        <v>4</v>
      </c>
      <c r="I7" s="20" t="s">
        <v>6</v>
      </c>
      <c r="J7" s="20" t="s">
        <v>7</v>
      </c>
      <c r="K7" s="20" t="s">
        <v>6</v>
      </c>
      <c r="L7" s="20" t="s">
        <v>4</v>
      </c>
      <c r="M7" s="20" t="s">
        <v>11</v>
      </c>
      <c r="N7" s="20" t="s">
        <v>11</v>
      </c>
      <c r="O7" s="11" t="s">
        <v>7</v>
      </c>
      <c r="P7" s="4">
        <v>0</v>
      </c>
    </row>
    <row r="8" spans="1:16" s="5" customFormat="1" ht="42" customHeight="1">
      <c r="A8" s="2">
        <v>6</v>
      </c>
      <c r="B8" s="12">
        <v>2544640890</v>
      </c>
      <c r="C8" s="12">
        <v>250371554015</v>
      </c>
      <c r="D8" s="13" t="s">
        <v>754</v>
      </c>
      <c r="E8" s="12" t="s">
        <v>20</v>
      </c>
      <c r="F8" s="19" t="s">
        <v>15</v>
      </c>
      <c r="G8" s="19" t="s">
        <v>85</v>
      </c>
      <c r="H8" s="20" t="s">
        <v>4</v>
      </c>
      <c r="I8" s="20" t="s">
        <v>6</v>
      </c>
      <c r="J8" s="20" t="s">
        <v>5</v>
      </c>
      <c r="K8" s="20" t="s">
        <v>1517</v>
      </c>
      <c r="L8" s="20" t="s">
        <v>6</v>
      </c>
      <c r="M8" s="20" t="s">
        <v>4</v>
      </c>
      <c r="N8" s="20" t="s">
        <v>8</v>
      </c>
      <c r="O8" s="11" t="s">
        <v>1517</v>
      </c>
      <c r="P8" s="4">
        <v>0</v>
      </c>
    </row>
    <row r="9" spans="1:16" s="5" customFormat="1" ht="42" customHeight="1">
      <c r="A9" s="2">
        <v>7</v>
      </c>
      <c r="B9" s="12">
        <v>2544640682</v>
      </c>
      <c r="C9" s="12">
        <v>250371554016</v>
      </c>
      <c r="D9" s="13" t="s">
        <v>755</v>
      </c>
      <c r="E9" s="12" t="s">
        <v>20</v>
      </c>
      <c r="F9" s="19" t="s">
        <v>15</v>
      </c>
      <c r="G9" s="19" t="s">
        <v>85</v>
      </c>
      <c r="H9" s="20" t="s">
        <v>5</v>
      </c>
      <c r="I9" s="20" t="s">
        <v>6</v>
      </c>
      <c r="J9" s="20" t="s">
        <v>1517</v>
      </c>
      <c r="K9" s="20" t="s">
        <v>7</v>
      </c>
      <c r="L9" s="20" t="s">
        <v>7</v>
      </c>
      <c r="M9" s="20" t="s">
        <v>11</v>
      </c>
      <c r="N9" s="20" t="s">
        <v>6</v>
      </c>
      <c r="O9" s="11" t="s">
        <v>1517</v>
      </c>
      <c r="P9" s="4">
        <v>0</v>
      </c>
    </row>
    <row r="10" spans="1:16" s="5" customFormat="1" ht="42" customHeight="1">
      <c r="A10" s="2">
        <v>8</v>
      </c>
      <c r="B10" s="12">
        <v>2544640399</v>
      </c>
      <c r="C10" s="12">
        <v>250371554017</v>
      </c>
      <c r="D10" s="13" t="s">
        <v>756</v>
      </c>
      <c r="E10" s="12" t="s">
        <v>20</v>
      </c>
      <c r="F10" s="19" t="s">
        <v>15</v>
      </c>
      <c r="G10" s="19" t="s">
        <v>85</v>
      </c>
      <c r="H10" s="20" t="s">
        <v>5</v>
      </c>
      <c r="I10" s="20" t="s">
        <v>5</v>
      </c>
      <c r="J10" s="20" t="s">
        <v>5</v>
      </c>
      <c r="K10" s="20" t="s">
        <v>4</v>
      </c>
      <c r="L10" s="20" t="s">
        <v>4</v>
      </c>
      <c r="M10" s="20" t="s">
        <v>11</v>
      </c>
      <c r="N10" s="20" t="s">
        <v>6</v>
      </c>
      <c r="O10" s="11" t="s">
        <v>17</v>
      </c>
      <c r="P10" s="4">
        <v>6.166666666666667</v>
      </c>
    </row>
    <row r="11" spans="1:16" s="5" customFormat="1" ht="42" customHeight="1">
      <c r="A11" s="2">
        <v>9</v>
      </c>
      <c r="B11" s="12">
        <v>2544640143</v>
      </c>
      <c r="C11" s="12">
        <v>250371554019</v>
      </c>
      <c r="D11" s="13" t="s">
        <v>757</v>
      </c>
      <c r="E11" s="12" t="s">
        <v>20</v>
      </c>
      <c r="F11" s="19" t="s">
        <v>15</v>
      </c>
      <c r="G11" s="19" t="s">
        <v>85</v>
      </c>
      <c r="H11" s="20" t="s">
        <v>5</v>
      </c>
      <c r="I11" s="20" t="s">
        <v>6</v>
      </c>
      <c r="J11" s="20" t="s">
        <v>5</v>
      </c>
      <c r="K11" s="20" t="s">
        <v>4</v>
      </c>
      <c r="L11" s="20" t="s">
        <v>3</v>
      </c>
      <c r="M11" s="20" t="s">
        <v>8</v>
      </c>
      <c r="N11" s="20" t="s">
        <v>11</v>
      </c>
      <c r="O11" s="11" t="s">
        <v>17</v>
      </c>
      <c r="P11" s="4">
        <v>6.4444444444444446</v>
      </c>
    </row>
    <row r="12" spans="1:16" s="5" customFormat="1" ht="42" customHeight="1">
      <c r="A12" s="2">
        <v>10</v>
      </c>
      <c r="B12" s="12">
        <v>2544640619</v>
      </c>
      <c r="C12" s="12">
        <v>250371554021</v>
      </c>
      <c r="D12" s="13" t="s">
        <v>758</v>
      </c>
      <c r="E12" s="12" t="s">
        <v>20</v>
      </c>
      <c r="F12" s="19" t="s">
        <v>15</v>
      </c>
      <c r="G12" s="19" t="s">
        <v>85</v>
      </c>
      <c r="H12" s="20" t="s">
        <v>4</v>
      </c>
      <c r="I12" s="20" t="s">
        <v>5</v>
      </c>
      <c r="J12" s="20" t="s">
        <v>4</v>
      </c>
      <c r="K12" s="20" t="s">
        <v>6</v>
      </c>
      <c r="L12" s="20" t="s">
        <v>4</v>
      </c>
      <c r="M12" s="20" t="s">
        <v>11</v>
      </c>
      <c r="N12" s="20" t="s">
        <v>2</v>
      </c>
      <c r="O12" s="11" t="s">
        <v>17</v>
      </c>
      <c r="P12" s="4">
        <v>6.4444444444444446</v>
      </c>
    </row>
    <row r="13" spans="1:16" s="5" customFormat="1" ht="42" customHeight="1">
      <c r="A13" s="2">
        <v>11</v>
      </c>
      <c r="B13" s="12">
        <v>2544640417</v>
      </c>
      <c r="C13" s="12">
        <v>250371554024</v>
      </c>
      <c r="D13" s="13" t="s">
        <v>759</v>
      </c>
      <c r="E13" s="12" t="s">
        <v>20</v>
      </c>
      <c r="F13" s="19" t="s">
        <v>15</v>
      </c>
      <c r="G13" s="19" t="s">
        <v>85</v>
      </c>
      <c r="H13" s="20" t="s">
        <v>5</v>
      </c>
      <c r="I13" s="20" t="s">
        <v>11</v>
      </c>
      <c r="J13" s="20" t="s">
        <v>4</v>
      </c>
      <c r="K13" s="20" t="s">
        <v>4</v>
      </c>
      <c r="L13" s="20" t="s">
        <v>7</v>
      </c>
      <c r="M13" s="20" t="s">
        <v>11</v>
      </c>
      <c r="N13" s="20" t="s">
        <v>4</v>
      </c>
      <c r="O13" s="11" t="s">
        <v>7</v>
      </c>
      <c r="P13" s="4">
        <v>0</v>
      </c>
    </row>
    <row r="14" spans="1:16" s="5" customFormat="1" ht="42" customHeight="1">
      <c r="A14" s="2">
        <v>12</v>
      </c>
      <c r="B14" s="12">
        <v>2544640897</v>
      </c>
      <c r="C14" s="12">
        <v>250371554025</v>
      </c>
      <c r="D14" s="13" t="s">
        <v>760</v>
      </c>
      <c r="E14" s="12" t="s">
        <v>20</v>
      </c>
      <c r="F14" s="19" t="s">
        <v>15</v>
      </c>
      <c r="G14" s="19" t="s">
        <v>85</v>
      </c>
      <c r="H14" s="20" t="s">
        <v>5</v>
      </c>
      <c r="I14" s="20" t="s">
        <v>6</v>
      </c>
      <c r="J14" s="20" t="s">
        <v>4</v>
      </c>
      <c r="K14" s="20" t="s">
        <v>3</v>
      </c>
      <c r="L14" s="20" t="s">
        <v>4</v>
      </c>
      <c r="M14" s="20" t="s">
        <v>11</v>
      </c>
      <c r="N14" s="20" t="s">
        <v>3</v>
      </c>
      <c r="O14" s="11" t="s">
        <v>17</v>
      </c>
      <c r="P14" s="4">
        <v>6.5555555555555554</v>
      </c>
    </row>
    <row r="15" spans="1:16" s="5" customFormat="1" ht="42" customHeight="1">
      <c r="A15" s="2">
        <v>13</v>
      </c>
      <c r="B15" s="12">
        <v>2544640003</v>
      </c>
      <c r="C15" s="12">
        <v>250371554026</v>
      </c>
      <c r="D15" s="13" t="s">
        <v>761</v>
      </c>
      <c r="E15" s="12" t="s">
        <v>20</v>
      </c>
      <c r="F15" s="19" t="s">
        <v>15</v>
      </c>
      <c r="G15" s="19" t="s">
        <v>85</v>
      </c>
      <c r="H15" s="20" t="s">
        <v>4</v>
      </c>
      <c r="I15" s="20" t="s">
        <v>3</v>
      </c>
      <c r="J15" s="20" t="s">
        <v>4</v>
      </c>
      <c r="K15" s="20" t="s">
        <v>4</v>
      </c>
      <c r="L15" s="20" t="s">
        <v>4</v>
      </c>
      <c r="M15" s="20" t="s">
        <v>11</v>
      </c>
      <c r="N15" s="20" t="s">
        <v>6</v>
      </c>
      <c r="O15" s="11" t="s">
        <v>17</v>
      </c>
      <c r="P15" s="4">
        <v>6.8888888888888893</v>
      </c>
    </row>
    <row r="16" spans="1:16" s="5" customFormat="1" ht="42" customHeight="1">
      <c r="A16" s="2">
        <v>14</v>
      </c>
      <c r="B16" s="12">
        <v>2544640618</v>
      </c>
      <c r="C16" s="12">
        <v>250371554028</v>
      </c>
      <c r="D16" s="13" t="s">
        <v>762</v>
      </c>
      <c r="E16" s="12" t="s">
        <v>20</v>
      </c>
      <c r="F16" s="19" t="s">
        <v>15</v>
      </c>
      <c r="G16" s="19" t="s">
        <v>85</v>
      </c>
      <c r="H16" s="20" t="s">
        <v>5</v>
      </c>
      <c r="I16" s="20" t="s">
        <v>11</v>
      </c>
      <c r="J16" s="20" t="s">
        <v>4</v>
      </c>
      <c r="K16" s="20" t="s">
        <v>4</v>
      </c>
      <c r="L16" s="20" t="s">
        <v>6</v>
      </c>
      <c r="M16" s="20" t="s">
        <v>11</v>
      </c>
      <c r="N16" s="20" t="s">
        <v>4</v>
      </c>
      <c r="O16" s="11" t="s">
        <v>17</v>
      </c>
      <c r="P16" s="4">
        <v>5.833333333333333</v>
      </c>
    </row>
    <row r="17" spans="1:16" s="5" customFormat="1" ht="42" customHeight="1">
      <c r="A17" s="2">
        <v>15</v>
      </c>
      <c r="B17" s="12">
        <v>2544640450</v>
      </c>
      <c r="C17" s="12">
        <v>250371554031</v>
      </c>
      <c r="D17" s="13" t="s">
        <v>763</v>
      </c>
      <c r="E17" s="12" t="s">
        <v>20</v>
      </c>
      <c r="F17" s="19" t="s">
        <v>15</v>
      </c>
      <c r="G17" s="19" t="s">
        <v>85</v>
      </c>
      <c r="H17" s="20" t="s">
        <v>6</v>
      </c>
      <c r="I17" s="20" t="s">
        <v>5</v>
      </c>
      <c r="J17" s="20" t="s">
        <v>5</v>
      </c>
      <c r="K17" s="20" t="s">
        <v>6</v>
      </c>
      <c r="L17" s="20" t="s">
        <v>5</v>
      </c>
      <c r="M17" s="20" t="s">
        <v>11</v>
      </c>
      <c r="N17" s="20" t="s">
        <v>6</v>
      </c>
      <c r="O17" s="11" t="s">
        <v>17</v>
      </c>
      <c r="P17" s="4">
        <v>5.5</v>
      </c>
    </row>
    <row r="18" spans="1:16" s="5" customFormat="1" ht="42" customHeight="1">
      <c r="A18" s="2">
        <v>16</v>
      </c>
      <c r="B18" s="12">
        <v>2544640953</v>
      </c>
      <c r="C18" s="12">
        <v>250371554032</v>
      </c>
      <c r="D18" s="13" t="s">
        <v>764</v>
      </c>
      <c r="E18" s="12" t="s">
        <v>20</v>
      </c>
      <c r="F18" s="19" t="s">
        <v>15</v>
      </c>
      <c r="G18" s="19" t="s">
        <v>85</v>
      </c>
      <c r="H18" s="20" t="s">
        <v>5</v>
      </c>
      <c r="I18" s="20" t="s">
        <v>1517</v>
      </c>
      <c r="J18" s="20" t="s">
        <v>5</v>
      </c>
      <c r="K18" s="20" t="s">
        <v>1517</v>
      </c>
      <c r="L18" s="20" t="s">
        <v>5</v>
      </c>
      <c r="M18" s="20" t="s">
        <v>11</v>
      </c>
      <c r="N18" s="20" t="s">
        <v>3</v>
      </c>
      <c r="O18" s="11" t="s">
        <v>1517</v>
      </c>
      <c r="P18" s="4">
        <v>0</v>
      </c>
    </row>
    <row r="19" spans="1:16" s="5" customFormat="1" ht="42" customHeight="1">
      <c r="A19" s="2">
        <v>17</v>
      </c>
      <c r="B19" s="12">
        <v>2544640930</v>
      </c>
      <c r="C19" s="12">
        <v>250371554034</v>
      </c>
      <c r="D19" s="13" t="s">
        <v>765</v>
      </c>
      <c r="E19" s="12" t="s">
        <v>20</v>
      </c>
      <c r="F19" s="19" t="s">
        <v>15</v>
      </c>
      <c r="G19" s="19" t="s">
        <v>85</v>
      </c>
      <c r="H19" s="20" t="s">
        <v>5</v>
      </c>
      <c r="I19" s="20" t="s">
        <v>7</v>
      </c>
      <c r="J19" s="20" t="s">
        <v>5</v>
      </c>
      <c r="K19" s="20" t="s">
        <v>4</v>
      </c>
      <c r="L19" s="20" t="s">
        <v>4</v>
      </c>
      <c r="M19" s="20" t="s">
        <v>11</v>
      </c>
      <c r="N19" s="20" t="s">
        <v>3</v>
      </c>
      <c r="O19" s="11" t="s">
        <v>7</v>
      </c>
      <c r="P19" s="4">
        <v>0</v>
      </c>
    </row>
    <row r="20" spans="1:16" s="5" customFormat="1" ht="42" customHeight="1">
      <c r="A20" s="2">
        <v>18</v>
      </c>
      <c r="B20" s="12">
        <v>2544640374</v>
      </c>
      <c r="C20" s="12">
        <v>250371554038</v>
      </c>
      <c r="D20" s="13" t="s">
        <v>766</v>
      </c>
      <c r="E20" s="12" t="s">
        <v>20</v>
      </c>
      <c r="F20" s="19" t="s">
        <v>15</v>
      </c>
      <c r="G20" s="19" t="s">
        <v>85</v>
      </c>
      <c r="H20" s="20" t="s">
        <v>5</v>
      </c>
      <c r="I20" s="20" t="s">
        <v>11</v>
      </c>
      <c r="J20" s="20" t="s">
        <v>3</v>
      </c>
      <c r="K20" s="20" t="s">
        <v>6</v>
      </c>
      <c r="L20" s="20" t="s">
        <v>6</v>
      </c>
      <c r="M20" s="20" t="s">
        <v>11</v>
      </c>
      <c r="N20" s="20" t="s">
        <v>11</v>
      </c>
      <c r="O20" s="11" t="s">
        <v>17</v>
      </c>
      <c r="P20" s="4">
        <v>5.5555555555555554</v>
      </c>
    </row>
    <row r="21" spans="1:16" s="5" customFormat="1" ht="42" customHeight="1">
      <c r="A21" s="2">
        <v>19</v>
      </c>
      <c r="B21" s="12">
        <v>2544640620</v>
      </c>
      <c r="C21" s="12">
        <v>250371554041</v>
      </c>
      <c r="D21" s="13" t="s">
        <v>767</v>
      </c>
      <c r="E21" s="12" t="s">
        <v>20</v>
      </c>
      <c r="F21" s="19" t="s">
        <v>15</v>
      </c>
      <c r="G21" s="19" t="s">
        <v>85</v>
      </c>
      <c r="H21" s="20" t="s">
        <v>4</v>
      </c>
      <c r="I21" s="20" t="s">
        <v>5</v>
      </c>
      <c r="J21" s="20" t="s">
        <v>4</v>
      </c>
      <c r="K21" s="20" t="s">
        <v>5</v>
      </c>
      <c r="L21" s="20" t="s">
        <v>6</v>
      </c>
      <c r="M21" s="20" t="s">
        <v>11</v>
      </c>
      <c r="N21" s="20" t="s">
        <v>3</v>
      </c>
      <c r="O21" s="11" t="s">
        <v>17</v>
      </c>
      <c r="P21" s="4">
        <v>6.2222222222222223</v>
      </c>
    </row>
    <row r="22" spans="1:16" s="5" customFormat="1" ht="42" customHeight="1">
      <c r="A22" s="2">
        <v>20</v>
      </c>
      <c r="B22" s="12">
        <v>2544640928</v>
      </c>
      <c r="C22" s="12">
        <v>250371554047</v>
      </c>
      <c r="D22" s="13" t="s">
        <v>768</v>
      </c>
      <c r="E22" s="12" t="s">
        <v>20</v>
      </c>
      <c r="F22" s="19" t="s">
        <v>15</v>
      </c>
      <c r="G22" s="19" t="s">
        <v>85</v>
      </c>
      <c r="H22" s="20" t="s">
        <v>4</v>
      </c>
      <c r="I22" s="20" t="s">
        <v>3</v>
      </c>
      <c r="J22" s="20" t="s">
        <v>4</v>
      </c>
      <c r="K22" s="20" t="s">
        <v>4</v>
      </c>
      <c r="L22" s="20" t="s">
        <v>3</v>
      </c>
      <c r="M22" s="20" t="s">
        <v>11</v>
      </c>
      <c r="N22" s="20" t="s">
        <v>2</v>
      </c>
      <c r="O22" s="11" t="s">
        <v>17</v>
      </c>
      <c r="P22" s="4">
        <v>7.2777777777777777</v>
      </c>
    </row>
    <row r="23" spans="1:16" s="5" customFormat="1" ht="42" customHeight="1">
      <c r="A23" s="2">
        <v>21</v>
      </c>
      <c r="B23" s="12">
        <v>2544640021</v>
      </c>
      <c r="C23" s="12">
        <v>250371554049</v>
      </c>
      <c r="D23" s="13" t="s">
        <v>769</v>
      </c>
      <c r="E23" s="12" t="s">
        <v>20</v>
      </c>
      <c r="F23" s="19" t="s">
        <v>15</v>
      </c>
      <c r="G23" s="19" t="s">
        <v>85</v>
      </c>
      <c r="H23" s="20" t="s">
        <v>6</v>
      </c>
      <c r="I23" s="20" t="s">
        <v>4</v>
      </c>
      <c r="J23" s="20" t="s">
        <v>5</v>
      </c>
      <c r="K23" s="20" t="s">
        <v>1517</v>
      </c>
      <c r="L23" s="20" t="s">
        <v>7</v>
      </c>
      <c r="M23" s="20" t="s">
        <v>11</v>
      </c>
      <c r="N23" s="20" t="s">
        <v>11</v>
      </c>
      <c r="O23" s="11" t="s">
        <v>1517</v>
      </c>
      <c r="P23" s="4">
        <v>0</v>
      </c>
    </row>
    <row r="24" spans="1:16" s="5" customFormat="1" ht="42" customHeight="1">
      <c r="A24" s="2">
        <v>22</v>
      </c>
      <c r="B24" s="12">
        <v>2544640416</v>
      </c>
      <c r="C24" s="12">
        <v>250371554050</v>
      </c>
      <c r="D24" s="13" t="s">
        <v>770</v>
      </c>
      <c r="E24" s="12" t="s">
        <v>20</v>
      </c>
      <c r="F24" s="19" t="s">
        <v>15</v>
      </c>
      <c r="G24" s="19" t="s">
        <v>85</v>
      </c>
      <c r="H24" s="20" t="s">
        <v>4</v>
      </c>
      <c r="I24" s="20" t="s">
        <v>5</v>
      </c>
      <c r="J24" s="20" t="s">
        <v>5</v>
      </c>
      <c r="K24" s="20" t="s">
        <v>7</v>
      </c>
      <c r="L24" s="20" t="s">
        <v>11</v>
      </c>
      <c r="M24" s="20" t="s">
        <v>11</v>
      </c>
      <c r="N24" s="20" t="s">
        <v>11</v>
      </c>
      <c r="O24" s="11" t="s">
        <v>7</v>
      </c>
      <c r="P24" s="4">
        <v>0</v>
      </c>
    </row>
    <row r="25" spans="1:16" s="5" customFormat="1" ht="42" customHeight="1">
      <c r="A25" s="2">
        <v>23</v>
      </c>
      <c r="B25" s="12">
        <v>2544640464</v>
      </c>
      <c r="C25" s="12">
        <v>250371554051</v>
      </c>
      <c r="D25" s="13" t="s">
        <v>771</v>
      </c>
      <c r="E25" s="12" t="s">
        <v>20</v>
      </c>
      <c r="F25" s="19" t="s">
        <v>15</v>
      </c>
      <c r="G25" s="19" t="s">
        <v>85</v>
      </c>
      <c r="H25" s="20" t="s">
        <v>5</v>
      </c>
      <c r="I25" s="20" t="s">
        <v>4</v>
      </c>
      <c r="J25" s="20" t="s">
        <v>4</v>
      </c>
      <c r="K25" s="20" t="s">
        <v>4</v>
      </c>
      <c r="L25" s="20" t="s">
        <v>4</v>
      </c>
      <c r="M25" s="20" t="s">
        <v>11</v>
      </c>
      <c r="N25" s="20" t="s">
        <v>3</v>
      </c>
      <c r="O25" s="11" t="s">
        <v>17</v>
      </c>
      <c r="P25" s="4">
        <v>6.7222222222222223</v>
      </c>
    </row>
  </sheetData>
  <autoFilter ref="A1:P25">
    <filterColumn colId="6"/>
    <filterColumn colId="11"/>
    <filterColumn colId="12"/>
    <filterColumn colId="13"/>
  </autoFilter>
  <mergeCells count="8">
    <mergeCell ref="G1:G2"/>
    <mergeCell ref="P1:P2"/>
    <mergeCell ref="A1:A2"/>
    <mergeCell ref="B1:B2"/>
    <mergeCell ref="C1:C2"/>
    <mergeCell ref="D1:D2"/>
    <mergeCell ref="E1:E2"/>
    <mergeCell ref="F1:F2"/>
  </mergeCells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N48"/>
  <sheetViews>
    <sheetView topLeftCell="A34" workbookViewId="0">
      <selection activeCell="L39" sqref="L39"/>
    </sheetView>
  </sheetViews>
  <sheetFormatPr defaultRowHeight="15"/>
  <cols>
    <col min="1" max="1" width="6.5703125" style="6" bestFit="1" customWidth="1"/>
    <col min="2" max="2" width="16.28515625" style="6" customWidth="1"/>
    <col min="3" max="3" width="18.28515625" style="6" bestFit="1" customWidth="1"/>
    <col min="4" max="4" width="32.5703125" style="6" customWidth="1"/>
    <col min="5" max="5" width="10" style="32" customWidth="1"/>
    <col min="6" max="6" width="10.85546875" style="32" customWidth="1"/>
    <col min="7" max="7" width="13.5703125" style="6" customWidth="1"/>
    <col min="8" max="9" width="12" style="6" customWidth="1"/>
    <col min="10" max="10" width="18.85546875" style="6" customWidth="1"/>
    <col min="11" max="12" width="17.85546875" style="6" customWidth="1"/>
    <col min="13" max="13" width="15.28515625" style="6" customWidth="1"/>
    <col min="14" max="14" width="10.28515625" style="7" customWidth="1"/>
    <col min="15" max="16384" width="9.140625" style="6"/>
  </cols>
  <sheetData>
    <row r="1" spans="1:14" s="31" customFormat="1" ht="30" customHeight="1">
      <c r="A1" s="58" t="s">
        <v>1519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</row>
    <row r="2" spans="1:14" s="5" customFormat="1" ht="30" customHeight="1">
      <c r="A2" s="59" t="s">
        <v>1518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</row>
    <row r="3" spans="1:14" s="8" customFormat="1" ht="74.25" customHeight="1">
      <c r="A3" s="61" t="s">
        <v>1</v>
      </c>
      <c r="B3" s="61" t="s">
        <v>16</v>
      </c>
      <c r="C3" s="61" t="s">
        <v>12</v>
      </c>
      <c r="D3" s="61" t="s">
        <v>13</v>
      </c>
      <c r="E3" s="61" t="s">
        <v>14</v>
      </c>
      <c r="F3" s="61" t="s">
        <v>0</v>
      </c>
      <c r="G3" s="61" t="s">
        <v>31</v>
      </c>
      <c r="H3" s="1" t="s">
        <v>78</v>
      </c>
      <c r="I3" s="1" t="s">
        <v>79</v>
      </c>
      <c r="J3" s="1" t="s">
        <v>80</v>
      </c>
      <c r="K3" s="1" t="s">
        <v>81</v>
      </c>
      <c r="L3" s="1" t="s">
        <v>82</v>
      </c>
      <c r="M3" s="1" t="s">
        <v>10</v>
      </c>
      <c r="N3" s="60" t="s">
        <v>9</v>
      </c>
    </row>
    <row r="4" spans="1:14" s="8" customFormat="1" ht="29.25" customHeight="1">
      <c r="A4" s="61"/>
      <c r="B4" s="61"/>
      <c r="C4" s="61"/>
      <c r="D4" s="61"/>
      <c r="E4" s="61"/>
      <c r="F4" s="61"/>
      <c r="G4" s="61"/>
      <c r="H4" s="10">
        <v>3</v>
      </c>
      <c r="I4" s="10">
        <v>3</v>
      </c>
      <c r="J4" s="10">
        <v>4</v>
      </c>
      <c r="K4" s="10">
        <v>4</v>
      </c>
      <c r="L4" s="10">
        <v>4</v>
      </c>
      <c r="M4" s="10">
        <f>SUM(H4:L4)</f>
        <v>18</v>
      </c>
      <c r="N4" s="60"/>
    </row>
    <row r="5" spans="1:14" s="5" customFormat="1" ht="48" customHeight="1">
      <c r="A5" s="2">
        <v>1</v>
      </c>
      <c r="B5" s="12">
        <v>2563890160</v>
      </c>
      <c r="C5" s="12">
        <v>250371603001</v>
      </c>
      <c r="D5" s="13" t="s">
        <v>32</v>
      </c>
      <c r="E5" s="20" t="s">
        <v>33</v>
      </c>
      <c r="F5" s="15" t="s">
        <v>15</v>
      </c>
      <c r="G5" s="15" t="s">
        <v>34</v>
      </c>
      <c r="H5" s="3" t="s">
        <v>11</v>
      </c>
      <c r="I5" s="16" t="s">
        <v>11</v>
      </c>
      <c r="J5" s="16" t="s">
        <v>11</v>
      </c>
      <c r="K5" s="16" t="s">
        <v>6</v>
      </c>
      <c r="L5" s="16" t="s">
        <v>6</v>
      </c>
      <c r="M5" s="11" t="s">
        <v>17</v>
      </c>
      <c r="N5" s="4">
        <v>4.4400000000000004</v>
      </c>
    </row>
    <row r="6" spans="1:14" s="5" customFormat="1" ht="48" customHeight="1">
      <c r="A6" s="2">
        <v>2</v>
      </c>
      <c r="B6" s="12">
        <v>2563890030</v>
      </c>
      <c r="C6" s="12">
        <v>250371603002</v>
      </c>
      <c r="D6" s="13" t="s">
        <v>35</v>
      </c>
      <c r="E6" s="20" t="s">
        <v>33</v>
      </c>
      <c r="F6" s="15" t="s">
        <v>15</v>
      </c>
      <c r="G6" s="15" t="s">
        <v>34</v>
      </c>
      <c r="H6" s="3" t="s">
        <v>11</v>
      </c>
      <c r="I6" s="16" t="s">
        <v>11</v>
      </c>
      <c r="J6" s="16" t="s">
        <v>11</v>
      </c>
      <c r="K6" s="16" t="s">
        <v>6</v>
      </c>
      <c r="L6" s="16" t="s">
        <v>11</v>
      </c>
      <c r="M6" s="11" t="s">
        <v>17</v>
      </c>
      <c r="N6" s="4">
        <v>4.22</v>
      </c>
    </row>
    <row r="7" spans="1:14" s="5" customFormat="1" ht="48" customHeight="1">
      <c r="A7" s="2">
        <v>3</v>
      </c>
      <c r="B7" s="12">
        <v>2563890132</v>
      </c>
      <c r="C7" s="12">
        <v>250371603004</v>
      </c>
      <c r="D7" s="13" t="s">
        <v>36</v>
      </c>
      <c r="E7" s="20" t="s">
        <v>33</v>
      </c>
      <c r="F7" s="15" t="s">
        <v>15</v>
      </c>
      <c r="G7" s="15" t="s">
        <v>34</v>
      </c>
      <c r="H7" s="3" t="s">
        <v>3</v>
      </c>
      <c r="I7" s="16" t="s">
        <v>3</v>
      </c>
      <c r="J7" s="16" t="s">
        <v>3</v>
      </c>
      <c r="K7" s="16" t="s">
        <v>5</v>
      </c>
      <c r="L7" s="16" t="s">
        <v>4</v>
      </c>
      <c r="M7" s="11" t="s">
        <v>17</v>
      </c>
      <c r="N7" s="4">
        <v>7.333333333333333</v>
      </c>
    </row>
    <row r="8" spans="1:14" s="5" customFormat="1" ht="48" customHeight="1">
      <c r="A8" s="2">
        <v>4</v>
      </c>
      <c r="B8" s="12">
        <v>2563890088</v>
      </c>
      <c r="C8" s="12">
        <v>250371603005</v>
      </c>
      <c r="D8" s="13" t="s">
        <v>37</v>
      </c>
      <c r="E8" s="20" t="s">
        <v>33</v>
      </c>
      <c r="F8" s="15" t="s">
        <v>15</v>
      </c>
      <c r="G8" s="15" t="s">
        <v>34</v>
      </c>
      <c r="H8" s="3" t="s">
        <v>6</v>
      </c>
      <c r="I8" s="16" t="s">
        <v>5</v>
      </c>
      <c r="J8" s="16" t="s">
        <v>5</v>
      </c>
      <c r="K8" s="16" t="s">
        <v>6</v>
      </c>
      <c r="L8" s="16" t="s">
        <v>6</v>
      </c>
      <c r="M8" s="11" t="s">
        <v>17</v>
      </c>
      <c r="N8" s="4">
        <v>5.39</v>
      </c>
    </row>
    <row r="9" spans="1:14" s="5" customFormat="1" ht="48" customHeight="1">
      <c r="A9" s="2">
        <v>5</v>
      </c>
      <c r="B9" s="12">
        <v>2563890189</v>
      </c>
      <c r="C9" s="12">
        <v>250371603009</v>
      </c>
      <c r="D9" s="13" t="s">
        <v>38</v>
      </c>
      <c r="E9" s="20" t="s">
        <v>33</v>
      </c>
      <c r="F9" s="15" t="s">
        <v>15</v>
      </c>
      <c r="G9" s="15" t="s">
        <v>34</v>
      </c>
      <c r="H9" s="3" t="s">
        <v>1516</v>
      </c>
      <c r="I9" s="16" t="s">
        <v>1516</v>
      </c>
      <c r="J9" s="16" t="s">
        <v>1516</v>
      </c>
      <c r="K9" s="16" t="s">
        <v>1516</v>
      </c>
      <c r="L9" s="16" t="s">
        <v>1516</v>
      </c>
      <c r="M9" s="11" t="s">
        <v>1516</v>
      </c>
      <c r="N9" s="4">
        <v>0</v>
      </c>
    </row>
    <row r="10" spans="1:14" s="5" customFormat="1" ht="48" customHeight="1">
      <c r="A10" s="2">
        <v>6</v>
      </c>
      <c r="B10" s="12">
        <v>2563890094</v>
      </c>
      <c r="C10" s="12">
        <v>250371603010</v>
      </c>
      <c r="D10" s="13" t="s">
        <v>39</v>
      </c>
      <c r="E10" s="20" t="s">
        <v>33</v>
      </c>
      <c r="F10" s="15" t="s">
        <v>15</v>
      </c>
      <c r="G10" s="15" t="s">
        <v>34</v>
      </c>
      <c r="H10" s="3" t="s">
        <v>6</v>
      </c>
      <c r="I10" s="16" t="s">
        <v>5</v>
      </c>
      <c r="J10" s="16" t="s">
        <v>5</v>
      </c>
      <c r="K10" s="16" t="s">
        <v>7</v>
      </c>
      <c r="L10" s="16" t="s">
        <v>7</v>
      </c>
      <c r="M10" s="11" t="s">
        <v>7</v>
      </c>
      <c r="N10" s="4">
        <v>0</v>
      </c>
    </row>
    <row r="11" spans="1:14" s="5" customFormat="1" ht="48" customHeight="1">
      <c r="A11" s="2">
        <v>7</v>
      </c>
      <c r="B11" s="12">
        <v>2563890075</v>
      </c>
      <c r="C11" s="12">
        <v>250371603014</v>
      </c>
      <c r="D11" s="13" t="s">
        <v>40</v>
      </c>
      <c r="E11" s="20" t="s">
        <v>33</v>
      </c>
      <c r="F11" s="15" t="s">
        <v>15</v>
      </c>
      <c r="G11" s="15" t="s">
        <v>34</v>
      </c>
      <c r="H11" s="3" t="s">
        <v>11</v>
      </c>
      <c r="I11" s="16" t="s">
        <v>6</v>
      </c>
      <c r="J11" s="16" t="s">
        <v>6</v>
      </c>
      <c r="K11" s="16" t="s">
        <v>6</v>
      </c>
      <c r="L11" s="16" t="s">
        <v>7</v>
      </c>
      <c r="M11" s="11" t="s">
        <v>7</v>
      </c>
      <c r="N11" s="4">
        <v>0</v>
      </c>
    </row>
    <row r="12" spans="1:14" s="5" customFormat="1" ht="48" customHeight="1">
      <c r="A12" s="2">
        <v>8</v>
      </c>
      <c r="B12" s="12">
        <v>2563890180</v>
      </c>
      <c r="C12" s="12">
        <v>250371603015</v>
      </c>
      <c r="D12" s="13" t="s">
        <v>41</v>
      </c>
      <c r="E12" s="20" t="s">
        <v>33</v>
      </c>
      <c r="F12" s="15" t="s">
        <v>15</v>
      </c>
      <c r="G12" s="15" t="s">
        <v>34</v>
      </c>
      <c r="H12" s="3" t="s">
        <v>6</v>
      </c>
      <c r="I12" s="16" t="s">
        <v>6</v>
      </c>
      <c r="J12" s="16" t="s">
        <v>11</v>
      </c>
      <c r="K12" s="16" t="s">
        <v>11</v>
      </c>
      <c r="L12" s="16" t="s">
        <v>11</v>
      </c>
      <c r="M12" s="11" t="s">
        <v>17</v>
      </c>
      <c r="N12" s="4">
        <v>4.333333333333333</v>
      </c>
    </row>
    <row r="13" spans="1:14" s="5" customFormat="1" ht="48" customHeight="1">
      <c r="A13" s="2">
        <v>9</v>
      </c>
      <c r="B13" s="12">
        <v>2563890178</v>
      </c>
      <c r="C13" s="12">
        <v>250371603019</v>
      </c>
      <c r="D13" s="13" t="s">
        <v>42</v>
      </c>
      <c r="E13" s="20" t="s">
        <v>33</v>
      </c>
      <c r="F13" s="15" t="s">
        <v>15</v>
      </c>
      <c r="G13" s="15" t="s">
        <v>34</v>
      </c>
      <c r="H13" s="3" t="s">
        <v>3</v>
      </c>
      <c r="I13" s="16" t="s">
        <v>2</v>
      </c>
      <c r="J13" s="16" t="s">
        <v>3</v>
      </c>
      <c r="K13" s="16" t="s">
        <v>3</v>
      </c>
      <c r="L13" s="16" t="s">
        <v>3</v>
      </c>
      <c r="M13" s="11" t="s">
        <v>17</v>
      </c>
      <c r="N13" s="4">
        <v>8.1666666666666661</v>
      </c>
    </row>
    <row r="14" spans="1:14" s="5" customFormat="1" ht="48" customHeight="1">
      <c r="A14" s="2">
        <v>10</v>
      </c>
      <c r="B14" s="12">
        <v>2563890227</v>
      </c>
      <c r="C14" s="12">
        <v>250371603020</v>
      </c>
      <c r="D14" s="13" t="s">
        <v>43</v>
      </c>
      <c r="E14" s="20" t="s">
        <v>33</v>
      </c>
      <c r="F14" s="15" t="s">
        <v>15</v>
      </c>
      <c r="G14" s="15" t="s">
        <v>34</v>
      </c>
      <c r="H14" s="3" t="s">
        <v>1516</v>
      </c>
      <c r="I14" s="3" t="s">
        <v>1516</v>
      </c>
      <c r="J14" s="3" t="s">
        <v>1516</v>
      </c>
      <c r="K14" s="3" t="s">
        <v>1516</v>
      </c>
      <c r="L14" s="3" t="s">
        <v>1516</v>
      </c>
      <c r="M14" s="3" t="s">
        <v>1516</v>
      </c>
      <c r="N14" s="4">
        <v>0</v>
      </c>
    </row>
    <row r="15" spans="1:14" s="5" customFormat="1" ht="48" customHeight="1">
      <c r="A15" s="2">
        <v>11</v>
      </c>
      <c r="B15" s="12">
        <v>2563890225</v>
      </c>
      <c r="C15" s="12">
        <v>250371603021</v>
      </c>
      <c r="D15" s="13" t="s">
        <v>44</v>
      </c>
      <c r="E15" s="20" t="s">
        <v>33</v>
      </c>
      <c r="F15" s="15" t="s">
        <v>15</v>
      </c>
      <c r="G15" s="15" t="s">
        <v>34</v>
      </c>
      <c r="H15" s="3" t="s">
        <v>11</v>
      </c>
      <c r="I15" s="16" t="s">
        <v>11</v>
      </c>
      <c r="J15" s="16" t="s">
        <v>11</v>
      </c>
      <c r="K15" s="16" t="s">
        <v>11</v>
      </c>
      <c r="L15" s="16" t="s">
        <v>11</v>
      </c>
      <c r="M15" s="11" t="s">
        <v>17</v>
      </c>
      <c r="N15" s="4">
        <v>4</v>
      </c>
    </row>
    <row r="16" spans="1:14" s="5" customFormat="1" ht="48" customHeight="1">
      <c r="A16" s="2">
        <v>12</v>
      </c>
      <c r="B16" s="12">
        <v>2563890083</v>
      </c>
      <c r="C16" s="12">
        <v>250371603024</v>
      </c>
      <c r="D16" s="13" t="s">
        <v>45</v>
      </c>
      <c r="E16" s="20" t="s">
        <v>33</v>
      </c>
      <c r="F16" s="15" t="s">
        <v>15</v>
      </c>
      <c r="G16" s="15" t="s">
        <v>34</v>
      </c>
      <c r="H16" s="3" t="s">
        <v>6</v>
      </c>
      <c r="I16" s="16" t="s">
        <v>4</v>
      </c>
      <c r="J16" s="16" t="s">
        <v>4</v>
      </c>
      <c r="K16" s="16" t="s">
        <v>11</v>
      </c>
      <c r="L16" s="16" t="s">
        <v>4</v>
      </c>
      <c r="M16" s="11" t="s">
        <v>17</v>
      </c>
      <c r="N16" s="4">
        <v>6</v>
      </c>
    </row>
    <row r="17" spans="1:14" s="5" customFormat="1" ht="48" customHeight="1">
      <c r="A17" s="2">
        <v>13</v>
      </c>
      <c r="B17" s="12">
        <v>2563890095</v>
      </c>
      <c r="C17" s="12">
        <v>250371603027</v>
      </c>
      <c r="D17" s="13" t="s">
        <v>46</v>
      </c>
      <c r="E17" s="20" t="s">
        <v>33</v>
      </c>
      <c r="F17" s="15" t="s">
        <v>15</v>
      </c>
      <c r="G17" s="15" t="s">
        <v>34</v>
      </c>
      <c r="H17" s="3" t="s">
        <v>11</v>
      </c>
      <c r="I17" s="16" t="s">
        <v>7</v>
      </c>
      <c r="J17" s="16" t="s">
        <v>5</v>
      </c>
      <c r="K17" s="16" t="s">
        <v>11</v>
      </c>
      <c r="L17" s="16" t="s">
        <v>7</v>
      </c>
      <c r="M17" s="11" t="s">
        <v>7</v>
      </c>
      <c r="N17" s="4">
        <v>0</v>
      </c>
    </row>
    <row r="18" spans="1:14" s="5" customFormat="1" ht="48" customHeight="1">
      <c r="A18" s="2">
        <v>14</v>
      </c>
      <c r="B18" s="12">
        <v>2563890155</v>
      </c>
      <c r="C18" s="12">
        <v>250371603028</v>
      </c>
      <c r="D18" s="13" t="s">
        <v>47</v>
      </c>
      <c r="E18" s="20" t="s">
        <v>33</v>
      </c>
      <c r="F18" s="15" t="s">
        <v>15</v>
      </c>
      <c r="G18" s="15" t="s">
        <v>34</v>
      </c>
      <c r="H18" s="3" t="s">
        <v>5</v>
      </c>
      <c r="I18" s="16" t="s">
        <v>11</v>
      </c>
      <c r="J18" s="16" t="s">
        <v>11</v>
      </c>
      <c r="K18" s="16" t="s">
        <v>11</v>
      </c>
      <c r="L18" s="16" t="s">
        <v>7</v>
      </c>
      <c r="M18" s="11" t="s">
        <v>7</v>
      </c>
      <c r="N18" s="4">
        <v>0</v>
      </c>
    </row>
    <row r="19" spans="1:14" s="5" customFormat="1" ht="48" customHeight="1">
      <c r="A19" s="2">
        <v>15</v>
      </c>
      <c r="B19" s="12">
        <v>2563890034</v>
      </c>
      <c r="C19" s="12">
        <v>250371603029</v>
      </c>
      <c r="D19" s="13" t="s">
        <v>48</v>
      </c>
      <c r="E19" s="20" t="s">
        <v>33</v>
      </c>
      <c r="F19" s="15" t="s">
        <v>15</v>
      </c>
      <c r="G19" s="15" t="s">
        <v>34</v>
      </c>
      <c r="H19" s="3" t="s">
        <v>6</v>
      </c>
      <c r="I19" s="16" t="s">
        <v>11</v>
      </c>
      <c r="J19" s="16" t="s">
        <v>5</v>
      </c>
      <c r="K19" s="16" t="s">
        <v>6</v>
      </c>
      <c r="L19" s="16" t="s">
        <v>11</v>
      </c>
      <c r="M19" s="11" t="s">
        <v>17</v>
      </c>
      <c r="N19" s="4">
        <v>4.833333333333333</v>
      </c>
    </row>
    <row r="20" spans="1:14" s="5" customFormat="1" ht="48" customHeight="1">
      <c r="A20" s="2">
        <v>16</v>
      </c>
      <c r="B20" s="12">
        <v>2563890059</v>
      </c>
      <c r="C20" s="12">
        <v>250371603030</v>
      </c>
      <c r="D20" s="13" t="s">
        <v>49</v>
      </c>
      <c r="E20" s="20" t="s">
        <v>33</v>
      </c>
      <c r="F20" s="15" t="s">
        <v>15</v>
      </c>
      <c r="G20" s="15" t="s">
        <v>34</v>
      </c>
      <c r="H20" s="3" t="s">
        <v>6</v>
      </c>
      <c r="I20" s="16" t="s">
        <v>11</v>
      </c>
      <c r="J20" s="16" t="s">
        <v>6</v>
      </c>
      <c r="K20" s="16" t="s">
        <v>11</v>
      </c>
      <c r="L20" s="16" t="s">
        <v>5</v>
      </c>
      <c r="M20" s="11" t="s">
        <v>17</v>
      </c>
      <c r="N20" s="4">
        <v>4.833333333333333</v>
      </c>
    </row>
    <row r="21" spans="1:14" s="5" customFormat="1" ht="48" customHeight="1">
      <c r="A21" s="2">
        <v>17</v>
      </c>
      <c r="B21" s="12">
        <v>2563890164</v>
      </c>
      <c r="C21" s="12">
        <v>250371603031</v>
      </c>
      <c r="D21" s="13" t="s">
        <v>50</v>
      </c>
      <c r="E21" s="20" t="s">
        <v>33</v>
      </c>
      <c r="F21" s="15" t="s">
        <v>15</v>
      </c>
      <c r="G21" s="15" t="s">
        <v>34</v>
      </c>
      <c r="H21" s="3" t="s">
        <v>6</v>
      </c>
      <c r="I21" s="16" t="s">
        <v>11</v>
      </c>
      <c r="J21" s="16" t="s">
        <v>4</v>
      </c>
      <c r="K21" s="16" t="s">
        <v>11</v>
      </c>
      <c r="L21" s="16" t="s">
        <v>4</v>
      </c>
      <c r="M21" s="11" t="s">
        <v>17</v>
      </c>
      <c r="N21" s="4">
        <v>5.5</v>
      </c>
    </row>
    <row r="22" spans="1:14" s="5" customFormat="1" ht="48" customHeight="1">
      <c r="A22" s="2">
        <v>18</v>
      </c>
      <c r="B22" s="12">
        <v>2563890130</v>
      </c>
      <c r="C22" s="12">
        <v>250371603033</v>
      </c>
      <c r="D22" s="13" t="s">
        <v>51</v>
      </c>
      <c r="E22" s="20" t="s">
        <v>33</v>
      </c>
      <c r="F22" s="15" t="s">
        <v>15</v>
      </c>
      <c r="G22" s="15" t="s">
        <v>34</v>
      </c>
      <c r="H22" s="3" t="s">
        <v>6</v>
      </c>
      <c r="I22" s="16" t="s">
        <v>11</v>
      </c>
      <c r="J22" s="16" t="s">
        <v>11</v>
      </c>
      <c r="K22" s="16" t="s">
        <v>11</v>
      </c>
      <c r="L22" s="16" t="s">
        <v>11</v>
      </c>
      <c r="M22" s="11" t="s">
        <v>17</v>
      </c>
      <c r="N22" s="4">
        <v>4.17</v>
      </c>
    </row>
    <row r="23" spans="1:14" s="5" customFormat="1" ht="48" customHeight="1">
      <c r="A23" s="2">
        <v>19</v>
      </c>
      <c r="B23" s="12">
        <v>2563890049</v>
      </c>
      <c r="C23" s="12">
        <v>250371603035</v>
      </c>
      <c r="D23" s="13" t="s">
        <v>52</v>
      </c>
      <c r="E23" s="20" t="s">
        <v>33</v>
      </c>
      <c r="F23" s="15" t="s">
        <v>15</v>
      </c>
      <c r="G23" s="15" t="s">
        <v>34</v>
      </c>
      <c r="H23" s="3" t="s">
        <v>4</v>
      </c>
      <c r="I23" s="16" t="s">
        <v>11</v>
      </c>
      <c r="J23" s="16" t="s">
        <v>5</v>
      </c>
      <c r="K23" s="16" t="s">
        <v>11</v>
      </c>
      <c r="L23" s="16" t="s">
        <v>6</v>
      </c>
      <c r="M23" s="11" t="s">
        <v>17</v>
      </c>
      <c r="N23" s="4">
        <v>5.166666666666667</v>
      </c>
    </row>
    <row r="24" spans="1:14" s="5" customFormat="1" ht="48" customHeight="1">
      <c r="A24" s="2">
        <v>20</v>
      </c>
      <c r="B24" s="12">
        <v>2563890201</v>
      </c>
      <c r="C24" s="12">
        <v>250371603036</v>
      </c>
      <c r="D24" s="13" t="s">
        <v>53</v>
      </c>
      <c r="E24" s="20" t="s">
        <v>33</v>
      </c>
      <c r="F24" s="15" t="s">
        <v>15</v>
      </c>
      <c r="G24" s="15" t="s">
        <v>34</v>
      </c>
      <c r="H24" s="3" t="s">
        <v>11</v>
      </c>
      <c r="I24" s="16" t="s">
        <v>5</v>
      </c>
      <c r="J24" s="16" t="s">
        <v>5</v>
      </c>
      <c r="K24" s="16" t="s">
        <v>11</v>
      </c>
      <c r="L24" s="16" t="s">
        <v>11</v>
      </c>
      <c r="M24" s="11" t="s">
        <v>17</v>
      </c>
      <c r="N24" s="4">
        <v>4.7777777777777777</v>
      </c>
    </row>
    <row r="25" spans="1:14" s="5" customFormat="1" ht="48" customHeight="1">
      <c r="A25" s="2">
        <v>21</v>
      </c>
      <c r="B25" s="12">
        <v>2563890117</v>
      </c>
      <c r="C25" s="12">
        <v>250371603038</v>
      </c>
      <c r="D25" s="13" t="s">
        <v>54</v>
      </c>
      <c r="E25" s="20" t="s">
        <v>33</v>
      </c>
      <c r="F25" s="15" t="s">
        <v>15</v>
      </c>
      <c r="G25" s="15" t="s">
        <v>34</v>
      </c>
      <c r="H25" s="3" t="s">
        <v>4</v>
      </c>
      <c r="I25" s="16" t="s">
        <v>7</v>
      </c>
      <c r="J25" s="16" t="s">
        <v>4</v>
      </c>
      <c r="K25" s="16" t="s">
        <v>11</v>
      </c>
      <c r="L25" s="16" t="s">
        <v>11</v>
      </c>
      <c r="M25" s="11" t="s">
        <v>7</v>
      </c>
      <c r="N25" s="4">
        <v>0</v>
      </c>
    </row>
    <row r="26" spans="1:14" s="5" customFormat="1" ht="48" customHeight="1">
      <c r="A26" s="2">
        <v>22</v>
      </c>
      <c r="B26" s="12">
        <v>2563890181</v>
      </c>
      <c r="C26" s="12">
        <v>250371603041</v>
      </c>
      <c r="D26" s="13" t="s">
        <v>55</v>
      </c>
      <c r="E26" s="20" t="s">
        <v>33</v>
      </c>
      <c r="F26" s="15" t="s">
        <v>15</v>
      </c>
      <c r="G26" s="15" t="s">
        <v>34</v>
      </c>
      <c r="H26" s="3" t="s">
        <v>4</v>
      </c>
      <c r="I26" s="16" t="s">
        <v>7</v>
      </c>
      <c r="J26" s="16" t="s">
        <v>4</v>
      </c>
      <c r="K26" s="16" t="s">
        <v>5</v>
      </c>
      <c r="L26" s="16" t="s">
        <v>4</v>
      </c>
      <c r="M26" s="11" t="s">
        <v>7</v>
      </c>
      <c r="N26" s="4">
        <v>0</v>
      </c>
    </row>
    <row r="27" spans="1:14" s="5" customFormat="1" ht="48" customHeight="1">
      <c r="A27" s="2">
        <v>23</v>
      </c>
      <c r="B27" s="12">
        <v>2563890174</v>
      </c>
      <c r="C27" s="12">
        <v>250371603047</v>
      </c>
      <c r="D27" s="13" t="s">
        <v>56</v>
      </c>
      <c r="E27" s="20" t="s">
        <v>33</v>
      </c>
      <c r="F27" s="15" t="s">
        <v>15</v>
      </c>
      <c r="G27" s="15" t="s">
        <v>34</v>
      </c>
      <c r="H27" s="3" t="s">
        <v>5</v>
      </c>
      <c r="I27" s="16" t="s">
        <v>11</v>
      </c>
      <c r="J27" s="16" t="s">
        <v>6</v>
      </c>
      <c r="K27" s="16" t="s">
        <v>6</v>
      </c>
      <c r="L27" s="16" t="s">
        <v>11</v>
      </c>
      <c r="M27" s="11" t="s">
        <v>17</v>
      </c>
      <c r="N27" s="4">
        <v>4.78</v>
      </c>
    </row>
    <row r="28" spans="1:14" s="5" customFormat="1" ht="48" customHeight="1">
      <c r="A28" s="2">
        <v>24</v>
      </c>
      <c r="B28" s="12">
        <v>2563890182</v>
      </c>
      <c r="C28" s="12">
        <v>250371603048</v>
      </c>
      <c r="D28" s="13" t="s">
        <v>57</v>
      </c>
      <c r="E28" s="20" t="s">
        <v>33</v>
      </c>
      <c r="F28" s="15" t="s">
        <v>15</v>
      </c>
      <c r="G28" s="15" t="s">
        <v>34</v>
      </c>
      <c r="H28" s="3" t="s">
        <v>4</v>
      </c>
      <c r="I28" s="16" t="s">
        <v>4</v>
      </c>
      <c r="J28" s="16" t="s">
        <v>4</v>
      </c>
      <c r="K28" s="16" t="s">
        <v>7</v>
      </c>
      <c r="L28" s="16" t="s">
        <v>4</v>
      </c>
      <c r="M28" s="11" t="s">
        <v>7</v>
      </c>
      <c r="N28" s="4">
        <v>0</v>
      </c>
    </row>
    <row r="29" spans="1:14" s="5" customFormat="1" ht="48" customHeight="1">
      <c r="A29" s="2">
        <v>25</v>
      </c>
      <c r="B29" s="12">
        <v>2563890017</v>
      </c>
      <c r="C29" s="12">
        <v>250371603049</v>
      </c>
      <c r="D29" s="13" t="s">
        <v>58</v>
      </c>
      <c r="E29" s="20" t="s">
        <v>33</v>
      </c>
      <c r="F29" s="15" t="s">
        <v>15</v>
      </c>
      <c r="G29" s="15" t="s">
        <v>34</v>
      </c>
      <c r="H29" s="3" t="s">
        <v>11</v>
      </c>
      <c r="I29" s="16" t="s">
        <v>4</v>
      </c>
      <c r="J29" s="16" t="s">
        <v>11</v>
      </c>
      <c r="K29" s="16" t="s">
        <v>7</v>
      </c>
      <c r="L29" s="16" t="s">
        <v>11</v>
      </c>
      <c r="M29" s="11" t="s">
        <v>7</v>
      </c>
      <c r="N29" s="4">
        <v>0</v>
      </c>
    </row>
    <row r="30" spans="1:14" s="5" customFormat="1" ht="48" customHeight="1">
      <c r="A30" s="2">
        <v>26</v>
      </c>
      <c r="B30" s="12">
        <v>2563890135</v>
      </c>
      <c r="C30" s="12">
        <v>250371603055</v>
      </c>
      <c r="D30" s="13" t="s">
        <v>59</v>
      </c>
      <c r="E30" s="20" t="s">
        <v>33</v>
      </c>
      <c r="F30" s="15" t="s">
        <v>15</v>
      </c>
      <c r="G30" s="15" t="s">
        <v>34</v>
      </c>
      <c r="H30" s="3" t="s">
        <v>7</v>
      </c>
      <c r="I30" s="16" t="s">
        <v>11</v>
      </c>
      <c r="J30" s="16" t="s">
        <v>11</v>
      </c>
      <c r="K30" s="16" t="s">
        <v>7</v>
      </c>
      <c r="L30" s="16" t="s">
        <v>11</v>
      </c>
      <c r="M30" s="11" t="s">
        <v>7</v>
      </c>
      <c r="N30" s="4">
        <v>0</v>
      </c>
    </row>
    <row r="31" spans="1:14" s="5" customFormat="1" ht="48" customHeight="1">
      <c r="A31" s="2">
        <v>27</v>
      </c>
      <c r="B31" s="12">
        <v>2563890087</v>
      </c>
      <c r="C31" s="12">
        <v>250371603059</v>
      </c>
      <c r="D31" s="13" t="s">
        <v>60</v>
      </c>
      <c r="E31" s="20" t="s">
        <v>33</v>
      </c>
      <c r="F31" s="15" t="s">
        <v>15</v>
      </c>
      <c r="G31" s="15" t="s">
        <v>34</v>
      </c>
      <c r="H31" s="3" t="s">
        <v>6</v>
      </c>
      <c r="I31" s="16" t="s">
        <v>6</v>
      </c>
      <c r="J31" s="16" t="s">
        <v>4</v>
      </c>
      <c r="K31" s="16" t="s">
        <v>11</v>
      </c>
      <c r="L31" s="16" t="s">
        <v>11</v>
      </c>
      <c r="M31" s="11" t="s">
        <v>17</v>
      </c>
      <c r="N31" s="4">
        <v>5</v>
      </c>
    </row>
    <row r="32" spans="1:14" s="5" customFormat="1" ht="48" customHeight="1">
      <c r="A32" s="2">
        <v>28</v>
      </c>
      <c r="B32" s="12">
        <v>2563890115</v>
      </c>
      <c r="C32" s="12">
        <v>250371603063</v>
      </c>
      <c r="D32" s="13" t="s">
        <v>61</v>
      </c>
      <c r="E32" s="20" t="s">
        <v>33</v>
      </c>
      <c r="F32" s="15" t="s">
        <v>15</v>
      </c>
      <c r="G32" s="15" t="s">
        <v>34</v>
      </c>
      <c r="H32" s="3" t="s">
        <v>6</v>
      </c>
      <c r="I32" s="16" t="s">
        <v>3</v>
      </c>
      <c r="J32" s="16" t="s">
        <v>4</v>
      </c>
      <c r="K32" s="16" t="s">
        <v>6</v>
      </c>
      <c r="L32" s="16" t="s">
        <v>4</v>
      </c>
      <c r="M32" s="11" t="s">
        <v>17</v>
      </c>
      <c r="N32" s="4">
        <v>6.39</v>
      </c>
    </row>
    <row r="33" spans="1:14" s="5" customFormat="1" ht="48" customHeight="1">
      <c r="A33" s="2">
        <v>29</v>
      </c>
      <c r="B33" s="12">
        <v>2563890147</v>
      </c>
      <c r="C33" s="12">
        <v>250371603064</v>
      </c>
      <c r="D33" s="13" t="s">
        <v>62</v>
      </c>
      <c r="E33" s="20" t="s">
        <v>33</v>
      </c>
      <c r="F33" s="15" t="s">
        <v>15</v>
      </c>
      <c r="G33" s="15" t="s">
        <v>34</v>
      </c>
      <c r="H33" s="3" t="s">
        <v>3</v>
      </c>
      <c r="I33" s="16" t="s">
        <v>3</v>
      </c>
      <c r="J33" s="16" t="s">
        <v>6</v>
      </c>
      <c r="K33" s="16" t="s">
        <v>6</v>
      </c>
      <c r="L33" s="16" t="s">
        <v>5</v>
      </c>
      <c r="M33" s="11" t="s">
        <v>17</v>
      </c>
      <c r="N33" s="4">
        <v>6.22</v>
      </c>
    </row>
    <row r="34" spans="1:14" s="5" customFormat="1" ht="48" customHeight="1">
      <c r="A34" s="2">
        <v>30</v>
      </c>
      <c r="B34" s="12">
        <v>2563890179</v>
      </c>
      <c r="C34" s="12">
        <v>250371603066</v>
      </c>
      <c r="D34" s="13" t="s">
        <v>63</v>
      </c>
      <c r="E34" s="20" t="s">
        <v>33</v>
      </c>
      <c r="F34" s="15" t="s">
        <v>15</v>
      </c>
      <c r="G34" s="15" t="s">
        <v>34</v>
      </c>
      <c r="H34" s="3" t="s">
        <v>11</v>
      </c>
      <c r="I34" s="16" t="s">
        <v>4</v>
      </c>
      <c r="J34" s="16" t="s">
        <v>5</v>
      </c>
      <c r="K34" s="16" t="s">
        <v>5</v>
      </c>
      <c r="L34" s="16" t="s">
        <v>4</v>
      </c>
      <c r="M34" s="11" t="s">
        <v>17</v>
      </c>
      <c r="N34" s="4">
        <v>6.06</v>
      </c>
    </row>
    <row r="35" spans="1:14" s="5" customFormat="1" ht="48" customHeight="1">
      <c r="A35" s="2">
        <v>31</v>
      </c>
      <c r="B35" s="12">
        <v>2563890119</v>
      </c>
      <c r="C35" s="12">
        <v>250371603068</v>
      </c>
      <c r="D35" s="13" t="s">
        <v>64</v>
      </c>
      <c r="E35" s="20" t="s">
        <v>33</v>
      </c>
      <c r="F35" s="15" t="s">
        <v>15</v>
      </c>
      <c r="G35" s="15" t="s">
        <v>34</v>
      </c>
      <c r="H35" s="3" t="s">
        <v>7</v>
      </c>
      <c r="I35" s="16" t="s">
        <v>5</v>
      </c>
      <c r="J35" s="16" t="s">
        <v>5</v>
      </c>
      <c r="K35" s="16" t="s">
        <v>7</v>
      </c>
      <c r="L35" s="16" t="s">
        <v>11</v>
      </c>
      <c r="M35" s="11" t="s">
        <v>7</v>
      </c>
      <c r="N35" s="4">
        <v>0</v>
      </c>
    </row>
    <row r="36" spans="1:14" s="5" customFormat="1" ht="48" customHeight="1">
      <c r="A36" s="2">
        <v>32</v>
      </c>
      <c r="B36" s="12">
        <v>2563890198</v>
      </c>
      <c r="C36" s="12">
        <v>250371603071</v>
      </c>
      <c r="D36" s="13" t="s">
        <v>65</v>
      </c>
      <c r="E36" s="20" t="s">
        <v>33</v>
      </c>
      <c r="F36" s="15" t="s">
        <v>15</v>
      </c>
      <c r="G36" s="15" t="s">
        <v>34</v>
      </c>
      <c r="H36" s="3" t="s">
        <v>5</v>
      </c>
      <c r="I36" s="16" t="s">
        <v>5</v>
      </c>
      <c r="J36" s="16" t="s">
        <v>11</v>
      </c>
      <c r="K36" s="16" t="s">
        <v>7</v>
      </c>
      <c r="L36" s="16" t="s">
        <v>11</v>
      </c>
      <c r="M36" s="11" t="s">
        <v>7</v>
      </c>
      <c r="N36" s="4">
        <v>0</v>
      </c>
    </row>
    <row r="37" spans="1:14" s="5" customFormat="1" ht="48" customHeight="1">
      <c r="A37" s="2">
        <v>33</v>
      </c>
      <c r="B37" s="12">
        <v>2563890129</v>
      </c>
      <c r="C37" s="12">
        <v>250371603072</v>
      </c>
      <c r="D37" s="13" t="s">
        <v>66</v>
      </c>
      <c r="E37" s="20" t="s">
        <v>33</v>
      </c>
      <c r="F37" s="15" t="s">
        <v>15</v>
      </c>
      <c r="G37" s="15" t="s">
        <v>34</v>
      </c>
      <c r="H37" s="3" t="s">
        <v>6</v>
      </c>
      <c r="I37" s="16" t="s">
        <v>11</v>
      </c>
      <c r="J37" s="16" t="s">
        <v>11</v>
      </c>
      <c r="K37" s="16" t="s">
        <v>7</v>
      </c>
      <c r="L37" s="16" t="s">
        <v>6</v>
      </c>
      <c r="M37" s="11" t="s">
        <v>7</v>
      </c>
      <c r="N37" s="4">
        <v>0</v>
      </c>
    </row>
    <row r="38" spans="1:14" s="5" customFormat="1" ht="48" customHeight="1">
      <c r="A38" s="2">
        <v>34</v>
      </c>
      <c r="B38" s="12">
        <v>2563890245</v>
      </c>
      <c r="C38" s="12">
        <v>250371603074</v>
      </c>
      <c r="D38" s="13" t="s">
        <v>67</v>
      </c>
      <c r="E38" s="20" t="s">
        <v>33</v>
      </c>
      <c r="F38" s="15" t="s">
        <v>15</v>
      </c>
      <c r="G38" s="15" t="s">
        <v>34</v>
      </c>
      <c r="H38" s="3" t="s">
        <v>1517</v>
      </c>
      <c r="I38" s="16" t="s">
        <v>7</v>
      </c>
      <c r="J38" s="16" t="s">
        <v>11</v>
      </c>
      <c r="K38" s="16" t="s">
        <v>11</v>
      </c>
      <c r="L38" s="16" t="s">
        <v>7</v>
      </c>
      <c r="M38" s="11" t="s">
        <v>1517</v>
      </c>
      <c r="N38" s="4">
        <v>0</v>
      </c>
    </row>
    <row r="39" spans="1:14" s="5" customFormat="1" ht="48" customHeight="1">
      <c r="A39" s="2">
        <v>35</v>
      </c>
      <c r="B39" s="12">
        <v>2563890141</v>
      </c>
      <c r="C39" s="12">
        <v>250371603076</v>
      </c>
      <c r="D39" s="13" t="s">
        <v>68</v>
      </c>
      <c r="E39" s="20" t="s">
        <v>33</v>
      </c>
      <c r="F39" s="15" t="s">
        <v>15</v>
      </c>
      <c r="G39" s="15" t="s">
        <v>34</v>
      </c>
      <c r="H39" s="3" t="s">
        <v>11</v>
      </c>
      <c r="I39" s="16" t="s">
        <v>7</v>
      </c>
      <c r="J39" s="16" t="s">
        <v>5</v>
      </c>
      <c r="K39" s="16" t="s">
        <v>11</v>
      </c>
      <c r="L39" s="16" t="s">
        <v>11</v>
      </c>
      <c r="M39" s="11" t="s">
        <v>7</v>
      </c>
      <c r="N39" s="4">
        <v>0</v>
      </c>
    </row>
    <row r="40" spans="1:14" s="5" customFormat="1" ht="48" customHeight="1">
      <c r="A40" s="2">
        <v>36</v>
      </c>
      <c r="B40" s="12">
        <v>2563890086</v>
      </c>
      <c r="C40" s="12">
        <v>250371603081</v>
      </c>
      <c r="D40" s="13" t="s">
        <v>69</v>
      </c>
      <c r="E40" s="20" t="s">
        <v>33</v>
      </c>
      <c r="F40" s="15" t="s">
        <v>15</v>
      </c>
      <c r="G40" s="15" t="s">
        <v>34</v>
      </c>
      <c r="H40" s="3" t="s">
        <v>11</v>
      </c>
      <c r="I40" s="16" t="s">
        <v>7</v>
      </c>
      <c r="J40" s="16" t="s">
        <v>11</v>
      </c>
      <c r="K40" s="16" t="s">
        <v>7</v>
      </c>
      <c r="L40" s="16" t="s">
        <v>7</v>
      </c>
      <c r="M40" s="11" t="s">
        <v>7</v>
      </c>
      <c r="N40" s="4">
        <v>0</v>
      </c>
    </row>
    <row r="41" spans="1:14" s="5" customFormat="1" ht="48" customHeight="1">
      <c r="A41" s="2">
        <v>37</v>
      </c>
      <c r="B41" s="12">
        <v>2563890213</v>
      </c>
      <c r="C41" s="12">
        <v>250371603084</v>
      </c>
      <c r="D41" s="13" t="s">
        <v>70</v>
      </c>
      <c r="E41" s="20" t="s">
        <v>33</v>
      </c>
      <c r="F41" s="15" t="s">
        <v>15</v>
      </c>
      <c r="G41" s="15" t="s">
        <v>34</v>
      </c>
      <c r="H41" s="3" t="s">
        <v>11</v>
      </c>
      <c r="I41" s="16" t="s">
        <v>11</v>
      </c>
      <c r="J41" s="16" t="s">
        <v>11</v>
      </c>
      <c r="K41" s="16" t="s">
        <v>7</v>
      </c>
      <c r="L41" s="16" t="s">
        <v>11</v>
      </c>
      <c r="M41" s="11" t="s">
        <v>7</v>
      </c>
      <c r="N41" s="4">
        <v>0</v>
      </c>
    </row>
    <row r="42" spans="1:14" s="5" customFormat="1" ht="48" customHeight="1">
      <c r="A42" s="2">
        <v>38</v>
      </c>
      <c r="B42" s="12">
        <v>2563890243</v>
      </c>
      <c r="C42" s="12">
        <v>250371603086</v>
      </c>
      <c r="D42" s="13" t="s">
        <v>71</v>
      </c>
      <c r="E42" s="20" t="s">
        <v>33</v>
      </c>
      <c r="F42" s="15" t="s">
        <v>15</v>
      </c>
      <c r="G42" s="15" t="s">
        <v>34</v>
      </c>
      <c r="H42" s="3" t="s">
        <v>11</v>
      </c>
      <c r="I42" s="16" t="s">
        <v>11</v>
      </c>
      <c r="J42" s="16" t="s">
        <v>4</v>
      </c>
      <c r="K42" s="16" t="s">
        <v>11</v>
      </c>
      <c r="L42" s="16" t="s">
        <v>5</v>
      </c>
      <c r="M42" s="11" t="s">
        <v>17</v>
      </c>
      <c r="N42" s="4">
        <v>5.1100000000000003</v>
      </c>
    </row>
    <row r="43" spans="1:14" s="5" customFormat="1" ht="48" customHeight="1">
      <c r="A43" s="2">
        <v>39</v>
      </c>
      <c r="B43" s="12">
        <v>2563890236</v>
      </c>
      <c r="C43" s="12">
        <v>250371603093</v>
      </c>
      <c r="D43" s="13" t="s">
        <v>72</v>
      </c>
      <c r="E43" s="20" t="s">
        <v>33</v>
      </c>
      <c r="F43" s="15" t="s">
        <v>15</v>
      </c>
      <c r="G43" s="15" t="s">
        <v>34</v>
      </c>
      <c r="H43" s="3" t="s">
        <v>4</v>
      </c>
      <c r="I43" s="16" t="s">
        <v>11</v>
      </c>
      <c r="J43" s="16" t="s">
        <v>5</v>
      </c>
      <c r="K43" s="16" t="s">
        <v>4</v>
      </c>
      <c r="L43" s="16" t="s">
        <v>6</v>
      </c>
      <c r="M43" s="11" t="s">
        <v>17</v>
      </c>
      <c r="N43" s="4">
        <v>5.833333333333333</v>
      </c>
    </row>
    <row r="44" spans="1:14" s="5" customFormat="1" ht="48" customHeight="1">
      <c r="A44" s="2">
        <v>40</v>
      </c>
      <c r="B44" s="12">
        <v>2563890116</v>
      </c>
      <c r="C44" s="12">
        <v>250371603094</v>
      </c>
      <c r="D44" s="13" t="s">
        <v>73</v>
      </c>
      <c r="E44" s="20" t="s">
        <v>33</v>
      </c>
      <c r="F44" s="15" t="s">
        <v>15</v>
      </c>
      <c r="G44" s="15" t="s">
        <v>34</v>
      </c>
      <c r="H44" s="3" t="s">
        <v>11</v>
      </c>
      <c r="I44" s="16" t="s">
        <v>11</v>
      </c>
      <c r="J44" s="16" t="s">
        <v>6</v>
      </c>
      <c r="K44" s="16" t="s">
        <v>11</v>
      </c>
      <c r="L44" s="16" t="s">
        <v>11</v>
      </c>
      <c r="M44" s="11" t="s">
        <v>17</v>
      </c>
      <c r="N44" s="4">
        <v>4.22</v>
      </c>
    </row>
    <row r="45" spans="1:14" s="5" customFormat="1" ht="48" customHeight="1">
      <c r="A45" s="2">
        <v>41</v>
      </c>
      <c r="B45" s="12">
        <v>2563890211</v>
      </c>
      <c r="C45" s="12">
        <v>250371603095</v>
      </c>
      <c r="D45" s="13" t="s">
        <v>74</v>
      </c>
      <c r="E45" s="20" t="s">
        <v>33</v>
      </c>
      <c r="F45" s="15" t="s">
        <v>15</v>
      </c>
      <c r="G45" s="15" t="s">
        <v>34</v>
      </c>
      <c r="H45" s="3" t="s">
        <v>4</v>
      </c>
      <c r="I45" s="16" t="s">
        <v>2</v>
      </c>
      <c r="J45" s="16" t="s">
        <v>5</v>
      </c>
      <c r="K45" s="16" t="s">
        <v>4</v>
      </c>
      <c r="L45" s="16" t="s">
        <v>5</v>
      </c>
      <c r="M45" s="11" t="s">
        <v>17</v>
      </c>
      <c r="N45" s="4">
        <v>6.8888888888888893</v>
      </c>
    </row>
    <row r="46" spans="1:14" s="5" customFormat="1" ht="48" customHeight="1">
      <c r="A46" s="2">
        <v>42</v>
      </c>
      <c r="B46" s="12">
        <v>2563890060</v>
      </c>
      <c r="C46" s="12">
        <v>250371603096</v>
      </c>
      <c r="D46" s="13" t="s">
        <v>75</v>
      </c>
      <c r="E46" s="20" t="s">
        <v>33</v>
      </c>
      <c r="F46" s="15" t="s">
        <v>15</v>
      </c>
      <c r="G46" s="15" t="s">
        <v>34</v>
      </c>
      <c r="H46" s="3" t="s">
        <v>11</v>
      </c>
      <c r="I46" s="16" t="s">
        <v>11</v>
      </c>
      <c r="J46" s="16" t="s">
        <v>11</v>
      </c>
      <c r="K46" s="16" t="s">
        <v>6</v>
      </c>
      <c r="L46" s="16" t="s">
        <v>11</v>
      </c>
      <c r="M46" s="11" t="s">
        <v>17</v>
      </c>
      <c r="N46" s="4">
        <v>4.22</v>
      </c>
    </row>
    <row r="47" spans="1:14" s="5" customFormat="1" ht="48" customHeight="1">
      <c r="A47" s="2">
        <v>43</v>
      </c>
      <c r="B47" s="12">
        <v>2563890144</v>
      </c>
      <c r="C47" s="12">
        <v>250371603098</v>
      </c>
      <c r="D47" s="13" t="s">
        <v>76</v>
      </c>
      <c r="E47" s="20" t="s">
        <v>33</v>
      </c>
      <c r="F47" s="15" t="s">
        <v>15</v>
      </c>
      <c r="G47" s="15" t="s">
        <v>34</v>
      </c>
      <c r="H47" s="3" t="s">
        <v>5</v>
      </c>
      <c r="I47" s="16" t="s">
        <v>11</v>
      </c>
      <c r="J47" s="16" t="s">
        <v>6</v>
      </c>
      <c r="K47" s="16" t="s">
        <v>11</v>
      </c>
      <c r="L47" s="16" t="s">
        <v>5</v>
      </c>
      <c r="M47" s="11" t="s">
        <v>17</v>
      </c>
      <c r="N47" s="4">
        <v>5</v>
      </c>
    </row>
    <row r="48" spans="1:14" s="5" customFormat="1" ht="48" customHeight="1">
      <c r="A48" s="2">
        <v>44</v>
      </c>
      <c r="B48" s="12">
        <v>2563890217</v>
      </c>
      <c r="C48" s="12">
        <v>250371603105</v>
      </c>
      <c r="D48" s="13" t="s">
        <v>77</v>
      </c>
      <c r="E48" s="20" t="s">
        <v>33</v>
      </c>
      <c r="F48" s="15" t="s">
        <v>15</v>
      </c>
      <c r="G48" s="15" t="s">
        <v>34</v>
      </c>
      <c r="H48" s="3" t="s">
        <v>11</v>
      </c>
      <c r="I48" s="16" t="s">
        <v>11</v>
      </c>
      <c r="J48" s="16" t="s">
        <v>11</v>
      </c>
      <c r="K48" s="16" t="s">
        <v>6</v>
      </c>
      <c r="L48" s="16" t="s">
        <v>6</v>
      </c>
      <c r="M48" s="11" t="s">
        <v>17</v>
      </c>
      <c r="N48" s="4">
        <v>4.4400000000000004</v>
      </c>
    </row>
  </sheetData>
  <autoFilter ref="A3:N48">
    <filterColumn colId="6"/>
    <filterColumn colId="12"/>
  </autoFilter>
  <mergeCells count="10">
    <mergeCell ref="A2:N2"/>
    <mergeCell ref="A1:N1"/>
    <mergeCell ref="N3:N4"/>
    <mergeCell ref="A3:A4"/>
    <mergeCell ref="B3:B4"/>
    <mergeCell ref="C3:C4"/>
    <mergeCell ref="D3:D4"/>
    <mergeCell ref="E3:E4"/>
    <mergeCell ref="F3:F4"/>
    <mergeCell ref="G3:G4"/>
  </mergeCells>
  <printOptions horizontalCentered="1"/>
  <pageMargins left="0.53" right="0.48" top="0.31" bottom="0.44" header="0.22" footer="0.3"/>
  <pageSetup paperSize="8" scale="90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N67"/>
  <sheetViews>
    <sheetView workbookViewId="0">
      <selection activeCell="L39" sqref="L39"/>
    </sheetView>
  </sheetViews>
  <sheetFormatPr defaultRowHeight="15"/>
  <cols>
    <col min="1" max="1" width="6.5703125" style="6" bestFit="1" customWidth="1"/>
    <col min="2" max="2" width="16.28515625" style="6" customWidth="1"/>
    <col min="3" max="3" width="18.28515625" style="6" bestFit="1" customWidth="1"/>
    <col min="4" max="4" width="32.5703125" style="6" customWidth="1"/>
    <col min="5" max="5" width="10" style="32" customWidth="1"/>
    <col min="6" max="6" width="10.85546875" style="32" customWidth="1"/>
    <col min="7" max="7" width="13.5703125" style="6" customWidth="1"/>
    <col min="8" max="9" width="12" style="6" customWidth="1"/>
    <col min="10" max="10" width="18.85546875" style="6" customWidth="1"/>
    <col min="11" max="12" width="17.85546875" style="6" customWidth="1"/>
    <col min="13" max="13" width="15.28515625" style="6" customWidth="1"/>
    <col min="14" max="14" width="10.28515625" style="7" customWidth="1"/>
    <col min="15" max="16384" width="9.140625" style="6"/>
  </cols>
  <sheetData>
    <row r="1" spans="1:14" s="31" customFormat="1" ht="30" customHeight="1">
      <c r="A1" s="58" t="s">
        <v>1519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</row>
    <row r="2" spans="1:14" s="5" customFormat="1" ht="30" customHeight="1">
      <c r="A2" s="59" t="s">
        <v>1518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</row>
    <row r="3" spans="1:14" s="8" customFormat="1" ht="74.25" customHeight="1">
      <c r="A3" s="61" t="s">
        <v>1</v>
      </c>
      <c r="B3" s="61" t="s">
        <v>16</v>
      </c>
      <c r="C3" s="61" t="s">
        <v>12</v>
      </c>
      <c r="D3" s="61" t="s">
        <v>13</v>
      </c>
      <c r="E3" s="61" t="s">
        <v>14</v>
      </c>
      <c r="F3" s="61" t="s">
        <v>0</v>
      </c>
      <c r="G3" s="61" t="s">
        <v>31</v>
      </c>
      <c r="H3" s="1" t="s">
        <v>78</v>
      </c>
      <c r="I3" s="1" t="s">
        <v>83</v>
      </c>
      <c r="J3" s="1" t="s">
        <v>80</v>
      </c>
      <c r="K3" s="1" t="s">
        <v>81</v>
      </c>
      <c r="L3" s="1" t="s">
        <v>82</v>
      </c>
      <c r="M3" s="1" t="s">
        <v>10</v>
      </c>
      <c r="N3" s="60" t="s">
        <v>9</v>
      </c>
    </row>
    <row r="4" spans="1:14" s="8" customFormat="1" ht="29.25" customHeight="1">
      <c r="A4" s="61"/>
      <c r="B4" s="61"/>
      <c r="C4" s="61"/>
      <c r="D4" s="61"/>
      <c r="E4" s="61"/>
      <c r="F4" s="61"/>
      <c r="G4" s="61"/>
      <c r="H4" s="10">
        <v>3</v>
      </c>
      <c r="I4" s="10">
        <v>3</v>
      </c>
      <c r="J4" s="10">
        <v>4</v>
      </c>
      <c r="K4" s="10">
        <v>4</v>
      </c>
      <c r="L4" s="10">
        <v>4</v>
      </c>
      <c r="M4" s="10">
        <f>SUM(H4:L4)</f>
        <v>18</v>
      </c>
      <c r="N4" s="60"/>
    </row>
    <row r="5" spans="1:14" s="5" customFormat="1" ht="48" customHeight="1">
      <c r="A5" s="2">
        <v>1</v>
      </c>
      <c r="B5" s="12">
        <v>2563890235</v>
      </c>
      <c r="C5" s="12">
        <v>250371603003</v>
      </c>
      <c r="D5" s="13" t="s">
        <v>84</v>
      </c>
      <c r="E5" s="20" t="s">
        <v>33</v>
      </c>
      <c r="F5" s="15" t="s">
        <v>15</v>
      </c>
      <c r="G5" s="15" t="s">
        <v>85</v>
      </c>
      <c r="H5" s="3" t="s">
        <v>11</v>
      </c>
      <c r="I5" s="16" t="s">
        <v>11</v>
      </c>
      <c r="J5" s="16" t="s">
        <v>11</v>
      </c>
      <c r="K5" s="16" t="s">
        <v>11</v>
      </c>
      <c r="L5" s="16" t="s">
        <v>11</v>
      </c>
      <c r="M5" s="11" t="s">
        <v>17</v>
      </c>
      <c r="N5" s="4">
        <v>4</v>
      </c>
    </row>
    <row r="6" spans="1:14" s="5" customFormat="1" ht="48" customHeight="1">
      <c r="A6" s="2">
        <v>2</v>
      </c>
      <c r="B6" s="12">
        <v>2563890200</v>
      </c>
      <c r="C6" s="12">
        <v>250371603006</v>
      </c>
      <c r="D6" s="13" t="s">
        <v>86</v>
      </c>
      <c r="E6" s="20" t="s">
        <v>33</v>
      </c>
      <c r="F6" s="15" t="s">
        <v>15</v>
      </c>
      <c r="G6" s="15" t="s">
        <v>85</v>
      </c>
      <c r="H6" s="3" t="s">
        <v>6</v>
      </c>
      <c r="I6" s="16" t="s">
        <v>6</v>
      </c>
      <c r="J6" s="16" t="s">
        <v>5</v>
      </c>
      <c r="K6" s="16" t="s">
        <v>5</v>
      </c>
      <c r="L6" s="16" t="s">
        <v>3</v>
      </c>
      <c r="M6" s="11" t="s">
        <v>17</v>
      </c>
      <c r="N6" s="4">
        <v>6.11</v>
      </c>
    </row>
    <row r="7" spans="1:14" s="5" customFormat="1" ht="48" customHeight="1">
      <c r="A7" s="2">
        <v>3</v>
      </c>
      <c r="B7" s="12">
        <v>2563890233</v>
      </c>
      <c r="C7" s="12">
        <v>250371603007</v>
      </c>
      <c r="D7" s="13" t="s">
        <v>87</v>
      </c>
      <c r="E7" s="20" t="s">
        <v>33</v>
      </c>
      <c r="F7" s="15" t="s">
        <v>15</v>
      </c>
      <c r="G7" s="15" t="s">
        <v>85</v>
      </c>
      <c r="H7" s="3" t="s">
        <v>3</v>
      </c>
      <c r="I7" s="16" t="s">
        <v>6</v>
      </c>
      <c r="J7" s="16" t="s">
        <v>4</v>
      </c>
      <c r="K7" s="16" t="s">
        <v>6</v>
      </c>
      <c r="L7" s="16" t="s">
        <v>4</v>
      </c>
      <c r="M7" s="11" t="s">
        <v>17</v>
      </c>
      <c r="N7" s="4">
        <v>6.3888888888888893</v>
      </c>
    </row>
    <row r="8" spans="1:14" s="5" customFormat="1" ht="48" customHeight="1">
      <c r="A8" s="2">
        <v>4</v>
      </c>
      <c r="B8" s="12">
        <v>2563890229</v>
      </c>
      <c r="C8" s="12">
        <v>250371603008</v>
      </c>
      <c r="D8" s="13" t="s">
        <v>88</v>
      </c>
      <c r="E8" s="20" t="s">
        <v>33</v>
      </c>
      <c r="F8" s="15" t="s">
        <v>15</v>
      </c>
      <c r="G8" s="15" t="s">
        <v>85</v>
      </c>
      <c r="H8" s="3" t="s">
        <v>4</v>
      </c>
      <c r="I8" s="16" t="s">
        <v>4</v>
      </c>
      <c r="J8" s="16" t="s">
        <v>6</v>
      </c>
      <c r="K8" s="16" t="s">
        <v>7</v>
      </c>
      <c r="L8" s="16" t="s">
        <v>11</v>
      </c>
      <c r="M8" s="11" t="s">
        <v>7</v>
      </c>
      <c r="N8" s="4">
        <v>0</v>
      </c>
    </row>
    <row r="9" spans="1:14" s="5" customFormat="1" ht="48" customHeight="1">
      <c r="A9" s="2">
        <v>5</v>
      </c>
      <c r="B9" s="12">
        <v>2563890008</v>
      </c>
      <c r="C9" s="12">
        <v>250371603011</v>
      </c>
      <c r="D9" s="13" t="s">
        <v>89</v>
      </c>
      <c r="E9" s="20" t="s">
        <v>33</v>
      </c>
      <c r="F9" s="15" t="s">
        <v>15</v>
      </c>
      <c r="G9" s="15" t="s">
        <v>85</v>
      </c>
      <c r="H9" s="3" t="s">
        <v>6</v>
      </c>
      <c r="I9" s="16" t="s">
        <v>4</v>
      </c>
      <c r="J9" s="16" t="s">
        <v>6</v>
      </c>
      <c r="K9" s="16" t="s">
        <v>5</v>
      </c>
      <c r="L9" s="16" t="s">
        <v>6</v>
      </c>
      <c r="M9" s="11" t="s">
        <v>17</v>
      </c>
      <c r="N9" s="4">
        <v>5.5555555555555554</v>
      </c>
    </row>
    <row r="10" spans="1:14" s="5" customFormat="1" ht="48" customHeight="1">
      <c r="A10" s="2">
        <v>6</v>
      </c>
      <c r="B10" s="12">
        <v>2563890041</v>
      </c>
      <c r="C10" s="12">
        <v>250371603012</v>
      </c>
      <c r="D10" s="13" t="s">
        <v>90</v>
      </c>
      <c r="E10" s="20" t="s">
        <v>33</v>
      </c>
      <c r="F10" s="15" t="s">
        <v>15</v>
      </c>
      <c r="G10" s="15" t="s">
        <v>85</v>
      </c>
      <c r="H10" s="3" t="s">
        <v>4</v>
      </c>
      <c r="I10" s="16" t="s">
        <v>6</v>
      </c>
      <c r="J10" s="16" t="s">
        <v>11</v>
      </c>
      <c r="K10" s="16" t="s">
        <v>5</v>
      </c>
      <c r="L10" s="16" t="s">
        <v>6</v>
      </c>
      <c r="M10" s="11" t="s">
        <v>17</v>
      </c>
      <c r="N10" s="4">
        <v>5.33</v>
      </c>
    </row>
    <row r="11" spans="1:14" s="5" customFormat="1" ht="48" customHeight="1">
      <c r="A11" s="2">
        <v>7</v>
      </c>
      <c r="B11" s="12">
        <v>2563890218</v>
      </c>
      <c r="C11" s="12">
        <v>250371603013</v>
      </c>
      <c r="D11" s="13" t="s">
        <v>91</v>
      </c>
      <c r="E11" s="20" t="s">
        <v>33</v>
      </c>
      <c r="F11" s="15" t="s">
        <v>15</v>
      </c>
      <c r="G11" s="15" t="s">
        <v>85</v>
      </c>
      <c r="H11" s="3" t="s">
        <v>4</v>
      </c>
      <c r="I11" s="16" t="s">
        <v>4</v>
      </c>
      <c r="J11" s="16" t="s">
        <v>5</v>
      </c>
      <c r="K11" s="16" t="s">
        <v>6</v>
      </c>
      <c r="L11" s="16" t="s">
        <v>6</v>
      </c>
      <c r="M11" s="11" t="s">
        <v>17</v>
      </c>
      <c r="N11" s="4">
        <v>5.89</v>
      </c>
    </row>
    <row r="12" spans="1:14" s="5" customFormat="1" ht="48" customHeight="1">
      <c r="A12" s="2">
        <v>8</v>
      </c>
      <c r="B12" s="12">
        <v>2563890062</v>
      </c>
      <c r="C12" s="12">
        <v>250371603016</v>
      </c>
      <c r="D12" s="13" t="s">
        <v>92</v>
      </c>
      <c r="E12" s="20" t="s">
        <v>33</v>
      </c>
      <c r="F12" s="15" t="s">
        <v>15</v>
      </c>
      <c r="G12" s="15" t="s">
        <v>85</v>
      </c>
      <c r="H12" s="3" t="s">
        <v>11</v>
      </c>
      <c r="I12" s="16" t="s">
        <v>11</v>
      </c>
      <c r="J12" s="16" t="s">
        <v>5</v>
      </c>
      <c r="K12" s="16" t="s">
        <v>11</v>
      </c>
      <c r="L12" s="16" t="s">
        <v>11</v>
      </c>
      <c r="M12" s="11" t="s">
        <v>17</v>
      </c>
      <c r="N12" s="4">
        <v>4.4444444444444446</v>
      </c>
    </row>
    <row r="13" spans="1:14" s="5" customFormat="1" ht="48" customHeight="1">
      <c r="A13" s="2">
        <v>9</v>
      </c>
      <c r="B13" s="12">
        <v>2563890061</v>
      </c>
      <c r="C13" s="12">
        <v>250371603017</v>
      </c>
      <c r="D13" s="13" t="s">
        <v>93</v>
      </c>
      <c r="E13" s="20" t="s">
        <v>33</v>
      </c>
      <c r="F13" s="15" t="s">
        <v>15</v>
      </c>
      <c r="G13" s="15" t="s">
        <v>85</v>
      </c>
      <c r="H13" s="3" t="s">
        <v>4</v>
      </c>
      <c r="I13" s="16" t="s">
        <v>6</v>
      </c>
      <c r="J13" s="16" t="s">
        <v>6</v>
      </c>
      <c r="K13" s="16" t="s">
        <v>6</v>
      </c>
      <c r="L13" s="16" t="s">
        <v>6</v>
      </c>
      <c r="M13" s="11" t="s">
        <v>17</v>
      </c>
      <c r="N13" s="4">
        <v>5.333333333333333</v>
      </c>
    </row>
    <row r="14" spans="1:14" s="5" customFormat="1" ht="48" customHeight="1">
      <c r="A14" s="2">
        <v>10</v>
      </c>
      <c r="B14" s="12">
        <v>2563890058</v>
      </c>
      <c r="C14" s="12">
        <v>250371603018</v>
      </c>
      <c r="D14" s="13" t="s">
        <v>94</v>
      </c>
      <c r="E14" s="20" t="s">
        <v>33</v>
      </c>
      <c r="F14" s="15" t="s">
        <v>15</v>
      </c>
      <c r="G14" s="15" t="s">
        <v>85</v>
      </c>
      <c r="H14" s="3" t="s">
        <v>5</v>
      </c>
      <c r="I14" s="16" t="s">
        <v>5</v>
      </c>
      <c r="J14" s="16" t="s">
        <v>5</v>
      </c>
      <c r="K14" s="16" t="s">
        <v>11</v>
      </c>
      <c r="L14" s="16" t="s">
        <v>6</v>
      </c>
      <c r="M14" s="11" t="s">
        <v>17</v>
      </c>
      <c r="N14" s="4">
        <v>5.33</v>
      </c>
    </row>
    <row r="15" spans="1:14" s="5" customFormat="1" ht="48" customHeight="1">
      <c r="A15" s="2">
        <v>11</v>
      </c>
      <c r="B15" s="12">
        <v>2563890064</v>
      </c>
      <c r="C15" s="12">
        <v>250371603022</v>
      </c>
      <c r="D15" s="13" t="s">
        <v>95</v>
      </c>
      <c r="E15" s="20" t="s">
        <v>33</v>
      </c>
      <c r="F15" s="15" t="s">
        <v>15</v>
      </c>
      <c r="G15" s="15" t="s">
        <v>85</v>
      </c>
      <c r="H15" s="3" t="s">
        <v>3</v>
      </c>
      <c r="I15" s="16" t="s">
        <v>2</v>
      </c>
      <c r="J15" s="16" t="s">
        <v>3</v>
      </c>
      <c r="K15" s="16" t="s">
        <v>3</v>
      </c>
      <c r="L15" s="16" t="s">
        <v>4</v>
      </c>
      <c r="M15" s="11" t="s">
        <v>17</v>
      </c>
      <c r="N15" s="4">
        <v>7.9444444444444446</v>
      </c>
    </row>
    <row r="16" spans="1:14" s="5" customFormat="1" ht="48" customHeight="1">
      <c r="A16" s="2">
        <v>12</v>
      </c>
      <c r="B16" s="12">
        <v>2563890230</v>
      </c>
      <c r="C16" s="12">
        <v>250371603023</v>
      </c>
      <c r="D16" s="13" t="s">
        <v>96</v>
      </c>
      <c r="E16" s="20" t="s">
        <v>33</v>
      </c>
      <c r="F16" s="15" t="s">
        <v>15</v>
      </c>
      <c r="G16" s="15" t="s">
        <v>85</v>
      </c>
      <c r="H16" s="3" t="s">
        <v>11</v>
      </c>
      <c r="I16" s="16" t="s">
        <v>11</v>
      </c>
      <c r="J16" s="16" t="s">
        <v>5</v>
      </c>
      <c r="K16" s="16" t="s">
        <v>6</v>
      </c>
      <c r="L16" s="16" t="s">
        <v>11</v>
      </c>
      <c r="M16" s="11" t="s">
        <v>17</v>
      </c>
      <c r="N16" s="4">
        <v>4.666666666666667</v>
      </c>
    </row>
    <row r="17" spans="1:14" s="5" customFormat="1" ht="48" customHeight="1">
      <c r="A17" s="2">
        <v>13</v>
      </c>
      <c r="B17" s="12">
        <v>2563890022</v>
      </c>
      <c r="C17" s="12">
        <v>250371603025</v>
      </c>
      <c r="D17" s="13" t="s">
        <v>97</v>
      </c>
      <c r="E17" s="20" t="s">
        <v>33</v>
      </c>
      <c r="F17" s="15" t="s">
        <v>15</v>
      </c>
      <c r="G17" s="15" t="s">
        <v>85</v>
      </c>
      <c r="H17" s="3" t="s">
        <v>4</v>
      </c>
      <c r="I17" s="16" t="s">
        <v>5</v>
      </c>
      <c r="J17" s="16" t="s">
        <v>11</v>
      </c>
      <c r="K17" s="16" t="s">
        <v>6</v>
      </c>
      <c r="L17" s="16" t="s">
        <v>11</v>
      </c>
      <c r="M17" s="11" t="s">
        <v>17</v>
      </c>
      <c r="N17" s="4">
        <v>5.0555555555555554</v>
      </c>
    </row>
    <row r="18" spans="1:14" s="5" customFormat="1" ht="48" customHeight="1">
      <c r="A18" s="2">
        <v>14</v>
      </c>
      <c r="B18" s="12">
        <v>2563890079</v>
      </c>
      <c r="C18" s="12">
        <v>250371603026</v>
      </c>
      <c r="D18" s="13" t="s">
        <v>98</v>
      </c>
      <c r="E18" s="20" t="s">
        <v>33</v>
      </c>
      <c r="F18" s="15" t="s">
        <v>15</v>
      </c>
      <c r="G18" s="15" t="s">
        <v>85</v>
      </c>
      <c r="H18" s="3" t="s">
        <v>4</v>
      </c>
      <c r="I18" s="16" t="s">
        <v>11</v>
      </c>
      <c r="J18" s="16" t="s">
        <v>4</v>
      </c>
      <c r="K18" s="16" t="s">
        <v>7</v>
      </c>
      <c r="L18" s="16" t="s">
        <v>11</v>
      </c>
      <c r="M18" s="11" t="s">
        <v>7</v>
      </c>
      <c r="N18" s="4">
        <v>4.2777777777777777</v>
      </c>
    </row>
    <row r="19" spans="1:14" s="5" customFormat="1" ht="48" customHeight="1">
      <c r="A19" s="2">
        <v>15</v>
      </c>
      <c r="B19" s="12">
        <v>2563890120</v>
      </c>
      <c r="C19" s="12">
        <v>250371603032</v>
      </c>
      <c r="D19" s="13" t="s">
        <v>99</v>
      </c>
      <c r="E19" s="20" t="s">
        <v>33</v>
      </c>
      <c r="F19" s="15" t="s">
        <v>15</v>
      </c>
      <c r="G19" s="15" t="s">
        <v>85</v>
      </c>
      <c r="H19" s="3" t="s">
        <v>7</v>
      </c>
      <c r="I19" s="16" t="s">
        <v>7</v>
      </c>
      <c r="J19" s="16" t="s">
        <v>7</v>
      </c>
      <c r="K19" s="16" t="s">
        <v>7</v>
      </c>
      <c r="L19" s="16" t="s">
        <v>7</v>
      </c>
      <c r="M19" s="11" t="s">
        <v>7</v>
      </c>
      <c r="N19" s="4">
        <v>0</v>
      </c>
    </row>
    <row r="20" spans="1:14" s="5" customFormat="1" ht="48" customHeight="1">
      <c r="A20" s="2">
        <v>16</v>
      </c>
      <c r="B20" s="12">
        <v>2563890024</v>
      </c>
      <c r="C20" s="12">
        <v>250371603034</v>
      </c>
      <c r="D20" s="13" t="s">
        <v>100</v>
      </c>
      <c r="E20" s="20" t="s">
        <v>33</v>
      </c>
      <c r="F20" s="15" t="s">
        <v>15</v>
      </c>
      <c r="G20" s="15" t="s">
        <v>85</v>
      </c>
      <c r="H20" s="3" t="s">
        <v>5</v>
      </c>
      <c r="I20" s="16" t="s">
        <v>5</v>
      </c>
      <c r="J20" s="16" t="s">
        <v>6</v>
      </c>
      <c r="K20" s="16" t="s">
        <v>11</v>
      </c>
      <c r="L20" s="16" t="s">
        <v>11</v>
      </c>
      <c r="M20" s="11" t="s">
        <v>17</v>
      </c>
      <c r="N20" s="4">
        <v>4.8899999999999997</v>
      </c>
    </row>
    <row r="21" spans="1:14" s="5" customFormat="1" ht="48" customHeight="1">
      <c r="A21" s="2">
        <v>17</v>
      </c>
      <c r="B21" s="12">
        <v>2563890046</v>
      </c>
      <c r="C21" s="12">
        <v>250371603037</v>
      </c>
      <c r="D21" s="13" t="s">
        <v>101</v>
      </c>
      <c r="E21" s="20" t="s">
        <v>33</v>
      </c>
      <c r="F21" s="15" t="s">
        <v>15</v>
      </c>
      <c r="G21" s="15" t="s">
        <v>85</v>
      </c>
      <c r="H21" s="3" t="s">
        <v>3</v>
      </c>
      <c r="I21" s="16" t="s">
        <v>4</v>
      </c>
      <c r="J21" s="16" t="s">
        <v>4</v>
      </c>
      <c r="K21" s="16" t="s">
        <v>6</v>
      </c>
      <c r="L21" s="16" t="s">
        <v>4</v>
      </c>
      <c r="M21" s="11" t="s">
        <v>17</v>
      </c>
      <c r="N21" s="4">
        <v>6.7222222222222223</v>
      </c>
    </row>
    <row r="22" spans="1:14" s="5" customFormat="1" ht="48" customHeight="1">
      <c r="A22" s="2">
        <v>18</v>
      </c>
      <c r="B22" s="12">
        <v>2563890011</v>
      </c>
      <c r="C22" s="12">
        <v>250371603039</v>
      </c>
      <c r="D22" s="13" t="s">
        <v>102</v>
      </c>
      <c r="E22" s="20" t="s">
        <v>33</v>
      </c>
      <c r="F22" s="15" t="s">
        <v>15</v>
      </c>
      <c r="G22" s="15" t="s">
        <v>85</v>
      </c>
      <c r="H22" s="3" t="s">
        <v>6</v>
      </c>
      <c r="I22" s="16" t="s">
        <v>5</v>
      </c>
      <c r="J22" s="16" t="s">
        <v>11</v>
      </c>
      <c r="K22" s="16" t="s">
        <v>4</v>
      </c>
      <c r="L22" s="16" t="s">
        <v>11</v>
      </c>
      <c r="M22" s="11" t="s">
        <v>17</v>
      </c>
      <c r="N22" s="4">
        <v>5.166666666666667</v>
      </c>
    </row>
    <row r="23" spans="1:14" s="5" customFormat="1" ht="48" customHeight="1">
      <c r="A23" s="2">
        <v>19</v>
      </c>
      <c r="B23" s="12">
        <v>2563890025</v>
      </c>
      <c r="C23" s="12">
        <v>250371603040</v>
      </c>
      <c r="D23" s="13" t="s">
        <v>103</v>
      </c>
      <c r="E23" s="20" t="s">
        <v>33</v>
      </c>
      <c r="F23" s="15" t="s">
        <v>15</v>
      </c>
      <c r="G23" s="15" t="s">
        <v>85</v>
      </c>
      <c r="H23" s="3" t="s">
        <v>6</v>
      </c>
      <c r="I23" s="16" t="s">
        <v>5</v>
      </c>
      <c r="J23" s="16" t="s">
        <v>6</v>
      </c>
      <c r="K23" s="16" t="s">
        <v>6</v>
      </c>
      <c r="L23" s="16" t="s">
        <v>11</v>
      </c>
      <c r="M23" s="11" t="s">
        <v>17</v>
      </c>
      <c r="N23" s="4">
        <v>4.9444444444444446</v>
      </c>
    </row>
    <row r="24" spans="1:14" s="5" customFormat="1" ht="48" customHeight="1">
      <c r="A24" s="2">
        <v>20</v>
      </c>
      <c r="B24" s="12">
        <v>2563890173</v>
      </c>
      <c r="C24" s="12">
        <v>250371603042</v>
      </c>
      <c r="D24" s="13" t="s">
        <v>104</v>
      </c>
      <c r="E24" s="20" t="s">
        <v>33</v>
      </c>
      <c r="F24" s="15" t="s">
        <v>15</v>
      </c>
      <c r="G24" s="15" t="s">
        <v>85</v>
      </c>
      <c r="H24" s="3" t="s">
        <v>3</v>
      </c>
      <c r="I24" s="16" t="s">
        <v>3</v>
      </c>
      <c r="J24" s="16" t="s">
        <v>4</v>
      </c>
      <c r="K24" s="16" t="s">
        <v>3</v>
      </c>
      <c r="L24" s="16" t="s">
        <v>4</v>
      </c>
      <c r="M24" s="11" t="s">
        <v>17</v>
      </c>
      <c r="N24" s="4">
        <v>7.5555555555555554</v>
      </c>
    </row>
    <row r="25" spans="1:14" s="5" customFormat="1" ht="48" customHeight="1">
      <c r="A25" s="2">
        <v>21</v>
      </c>
      <c r="B25" s="12">
        <v>2563890023</v>
      </c>
      <c r="C25" s="12">
        <v>250371603043</v>
      </c>
      <c r="D25" s="13" t="s">
        <v>105</v>
      </c>
      <c r="E25" s="20" t="s">
        <v>33</v>
      </c>
      <c r="F25" s="15" t="s">
        <v>15</v>
      </c>
      <c r="G25" s="15" t="s">
        <v>85</v>
      </c>
      <c r="H25" s="3" t="s">
        <v>6</v>
      </c>
      <c r="I25" s="16" t="s">
        <v>3</v>
      </c>
      <c r="J25" s="16" t="s">
        <v>6</v>
      </c>
      <c r="K25" s="16" t="s">
        <v>6</v>
      </c>
      <c r="L25" s="16" t="s">
        <v>5</v>
      </c>
      <c r="M25" s="11" t="s">
        <v>17</v>
      </c>
      <c r="N25" s="4">
        <v>5.7222222222222223</v>
      </c>
    </row>
    <row r="26" spans="1:14" s="5" customFormat="1" ht="48" customHeight="1">
      <c r="A26" s="2">
        <v>22</v>
      </c>
      <c r="B26" s="12">
        <v>2563890026</v>
      </c>
      <c r="C26" s="12">
        <v>250371603044</v>
      </c>
      <c r="D26" s="13" t="s">
        <v>106</v>
      </c>
      <c r="E26" s="20" t="s">
        <v>33</v>
      </c>
      <c r="F26" s="15" t="s">
        <v>15</v>
      </c>
      <c r="G26" s="15" t="s">
        <v>85</v>
      </c>
      <c r="H26" s="3" t="s">
        <v>3</v>
      </c>
      <c r="I26" s="16" t="s">
        <v>3</v>
      </c>
      <c r="J26" s="16" t="s">
        <v>4</v>
      </c>
      <c r="K26" s="16" t="s">
        <v>1517</v>
      </c>
      <c r="L26" s="16" t="s">
        <v>4</v>
      </c>
      <c r="M26" s="11" t="s">
        <v>1517</v>
      </c>
      <c r="N26" s="4">
        <v>0</v>
      </c>
    </row>
    <row r="27" spans="1:14" s="5" customFormat="1" ht="48" customHeight="1">
      <c r="A27" s="2">
        <v>23</v>
      </c>
      <c r="B27" s="12">
        <v>2563890113</v>
      </c>
      <c r="C27" s="12">
        <v>250371603045</v>
      </c>
      <c r="D27" s="13" t="s">
        <v>107</v>
      </c>
      <c r="E27" s="20" t="s">
        <v>33</v>
      </c>
      <c r="F27" s="15" t="s">
        <v>15</v>
      </c>
      <c r="G27" s="15" t="s">
        <v>85</v>
      </c>
      <c r="H27" s="3" t="s">
        <v>7</v>
      </c>
      <c r="I27" s="16" t="s">
        <v>5</v>
      </c>
      <c r="J27" s="16" t="s">
        <v>4</v>
      </c>
      <c r="K27" s="16" t="s">
        <v>7</v>
      </c>
      <c r="L27" s="16" t="s">
        <v>7</v>
      </c>
      <c r="M27" s="11" t="s">
        <v>7</v>
      </c>
      <c r="N27" s="4">
        <v>0</v>
      </c>
    </row>
    <row r="28" spans="1:14" s="5" customFormat="1" ht="48" customHeight="1">
      <c r="A28" s="2">
        <v>24</v>
      </c>
      <c r="B28" s="12">
        <v>2563890238</v>
      </c>
      <c r="C28" s="12">
        <v>250371603046</v>
      </c>
      <c r="D28" s="13" t="s">
        <v>108</v>
      </c>
      <c r="E28" s="20" t="s">
        <v>33</v>
      </c>
      <c r="F28" s="15" t="s">
        <v>15</v>
      </c>
      <c r="G28" s="15" t="s">
        <v>85</v>
      </c>
      <c r="H28" s="3" t="s">
        <v>7</v>
      </c>
      <c r="I28" s="16" t="s">
        <v>3</v>
      </c>
      <c r="J28" s="16" t="s">
        <v>11</v>
      </c>
      <c r="K28" s="16" t="s">
        <v>6</v>
      </c>
      <c r="L28" s="16" t="s">
        <v>6</v>
      </c>
      <c r="M28" s="11" t="s">
        <v>7</v>
      </c>
      <c r="N28" s="4">
        <v>0</v>
      </c>
    </row>
    <row r="29" spans="1:14" s="5" customFormat="1" ht="48" customHeight="1">
      <c r="A29" s="2">
        <v>25</v>
      </c>
      <c r="B29" s="12">
        <v>2563890101</v>
      </c>
      <c r="C29" s="12">
        <v>250371603050</v>
      </c>
      <c r="D29" s="13" t="s">
        <v>109</v>
      </c>
      <c r="E29" s="20" t="s">
        <v>33</v>
      </c>
      <c r="F29" s="15" t="s">
        <v>15</v>
      </c>
      <c r="G29" s="15" t="s">
        <v>85</v>
      </c>
      <c r="H29" s="3" t="s">
        <v>6</v>
      </c>
      <c r="I29" s="16" t="s">
        <v>4</v>
      </c>
      <c r="J29" s="16" t="s">
        <v>11</v>
      </c>
      <c r="K29" s="16" t="s">
        <v>7</v>
      </c>
      <c r="L29" s="16" t="s">
        <v>7</v>
      </c>
      <c r="M29" s="11" t="s">
        <v>7</v>
      </c>
      <c r="N29" s="4">
        <v>0</v>
      </c>
    </row>
    <row r="30" spans="1:14" s="5" customFormat="1" ht="48" customHeight="1">
      <c r="A30" s="2">
        <v>26</v>
      </c>
      <c r="B30" s="12">
        <v>2563890205</v>
      </c>
      <c r="C30" s="12">
        <v>250371603051</v>
      </c>
      <c r="D30" s="13" t="s">
        <v>110</v>
      </c>
      <c r="E30" s="20" t="s">
        <v>33</v>
      </c>
      <c r="F30" s="15" t="s">
        <v>15</v>
      </c>
      <c r="G30" s="15" t="s">
        <v>85</v>
      </c>
      <c r="H30" s="3" t="s">
        <v>11</v>
      </c>
      <c r="I30" s="16" t="s">
        <v>4</v>
      </c>
      <c r="J30" s="16" t="s">
        <v>11</v>
      </c>
      <c r="K30" s="16" t="s">
        <v>11</v>
      </c>
      <c r="L30" s="16" t="s">
        <v>6</v>
      </c>
      <c r="M30" s="11" t="s">
        <v>17</v>
      </c>
      <c r="N30" s="4">
        <v>4.7222222222222223</v>
      </c>
    </row>
    <row r="31" spans="1:14" s="5" customFormat="1" ht="48" customHeight="1">
      <c r="A31" s="2">
        <v>27</v>
      </c>
      <c r="B31" s="12">
        <v>2563890126</v>
      </c>
      <c r="C31" s="12">
        <v>250371603052</v>
      </c>
      <c r="D31" s="13" t="s">
        <v>111</v>
      </c>
      <c r="E31" s="20" t="s">
        <v>33</v>
      </c>
      <c r="F31" s="15" t="s">
        <v>15</v>
      </c>
      <c r="G31" s="15" t="s">
        <v>85</v>
      </c>
      <c r="H31" s="3" t="s">
        <v>5</v>
      </c>
      <c r="I31" s="16" t="s">
        <v>3</v>
      </c>
      <c r="J31" s="16" t="s">
        <v>4</v>
      </c>
      <c r="K31" s="16" t="s">
        <v>6</v>
      </c>
      <c r="L31" s="16" t="s">
        <v>4</v>
      </c>
      <c r="M31" s="11" t="s">
        <v>17</v>
      </c>
      <c r="N31" s="4">
        <v>6.56</v>
      </c>
    </row>
    <row r="32" spans="1:14" s="5" customFormat="1" ht="48" customHeight="1">
      <c r="A32" s="2">
        <v>28</v>
      </c>
      <c r="B32" s="12">
        <v>2563890252</v>
      </c>
      <c r="C32" s="12">
        <v>250371603053</v>
      </c>
      <c r="D32" s="13" t="s">
        <v>112</v>
      </c>
      <c r="E32" s="20" t="s">
        <v>33</v>
      </c>
      <c r="F32" s="15" t="s">
        <v>15</v>
      </c>
      <c r="G32" s="15" t="s">
        <v>85</v>
      </c>
      <c r="H32" s="3" t="s">
        <v>3</v>
      </c>
      <c r="I32" s="16" t="s">
        <v>4</v>
      </c>
      <c r="J32" s="16" t="s">
        <v>4</v>
      </c>
      <c r="K32" s="16" t="s">
        <v>4</v>
      </c>
      <c r="L32" s="16" t="s">
        <v>6</v>
      </c>
      <c r="M32" s="11" t="s">
        <v>17</v>
      </c>
      <c r="N32" s="4">
        <v>6.7222222222222223</v>
      </c>
    </row>
    <row r="33" spans="1:14" s="5" customFormat="1" ht="48" customHeight="1">
      <c r="A33" s="2">
        <v>29</v>
      </c>
      <c r="B33" s="12">
        <v>2563890077</v>
      </c>
      <c r="C33" s="12">
        <v>250371603054</v>
      </c>
      <c r="D33" s="13" t="s">
        <v>113</v>
      </c>
      <c r="E33" s="20" t="s">
        <v>33</v>
      </c>
      <c r="F33" s="15" t="s">
        <v>15</v>
      </c>
      <c r="G33" s="15" t="s">
        <v>85</v>
      </c>
      <c r="H33" s="3" t="s">
        <v>7</v>
      </c>
      <c r="I33" s="16" t="s">
        <v>4</v>
      </c>
      <c r="J33" s="16" t="s">
        <v>6</v>
      </c>
      <c r="K33" s="16" t="s">
        <v>6</v>
      </c>
      <c r="L33" s="16" t="s">
        <v>5</v>
      </c>
      <c r="M33" s="11" t="s">
        <v>7</v>
      </c>
      <c r="N33" s="4">
        <v>0</v>
      </c>
    </row>
    <row r="34" spans="1:14" s="5" customFormat="1" ht="48" customHeight="1">
      <c r="A34" s="2">
        <v>30</v>
      </c>
      <c r="B34" s="12">
        <v>2563890003</v>
      </c>
      <c r="C34" s="12">
        <v>250371603056</v>
      </c>
      <c r="D34" s="13" t="s">
        <v>114</v>
      </c>
      <c r="E34" s="20" t="s">
        <v>33</v>
      </c>
      <c r="F34" s="15" t="s">
        <v>15</v>
      </c>
      <c r="G34" s="15" t="s">
        <v>85</v>
      </c>
      <c r="H34" s="3" t="s">
        <v>5</v>
      </c>
      <c r="I34" s="16" t="s">
        <v>6</v>
      </c>
      <c r="J34" s="16" t="s">
        <v>11</v>
      </c>
      <c r="K34" s="16" t="s">
        <v>11</v>
      </c>
      <c r="L34" s="16" t="s">
        <v>11</v>
      </c>
      <c r="M34" s="11" t="s">
        <v>17</v>
      </c>
      <c r="N34" s="4">
        <v>4.5</v>
      </c>
    </row>
    <row r="35" spans="1:14" s="5" customFormat="1" ht="48" customHeight="1">
      <c r="A35" s="2">
        <v>31</v>
      </c>
      <c r="B35" s="12">
        <v>2563890114</v>
      </c>
      <c r="C35" s="12">
        <v>250371603057</v>
      </c>
      <c r="D35" s="13" t="s">
        <v>115</v>
      </c>
      <c r="E35" s="20" t="s">
        <v>33</v>
      </c>
      <c r="F35" s="15" t="s">
        <v>15</v>
      </c>
      <c r="G35" s="15" t="s">
        <v>85</v>
      </c>
      <c r="H35" s="3" t="s">
        <v>11</v>
      </c>
      <c r="I35" s="16" t="s">
        <v>7</v>
      </c>
      <c r="J35" s="16" t="s">
        <v>5</v>
      </c>
      <c r="K35" s="16" t="s">
        <v>7</v>
      </c>
      <c r="L35" s="16" t="s">
        <v>7</v>
      </c>
      <c r="M35" s="11" t="s">
        <v>7</v>
      </c>
      <c r="N35" s="4">
        <v>0</v>
      </c>
    </row>
    <row r="36" spans="1:14" s="5" customFormat="1" ht="48" customHeight="1">
      <c r="A36" s="2">
        <v>32</v>
      </c>
      <c r="B36" s="12">
        <v>2563890028</v>
      </c>
      <c r="C36" s="12">
        <v>250371603058</v>
      </c>
      <c r="D36" s="13" t="s">
        <v>116</v>
      </c>
      <c r="E36" s="20" t="s">
        <v>33</v>
      </c>
      <c r="F36" s="15" t="s">
        <v>15</v>
      </c>
      <c r="G36" s="15" t="s">
        <v>85</v>
      </c>
      <c r="H36" s="3" t="s">
        <v>3</v>
      </c>
      <c r="I36" s="16" t="s">
        <v>2</v>
      </c>
      <c r="J36" s="16" t="s">
        <v>3</v>
      </c>
      <c r="K36" s="16" t="s">
        <v>2</v>
      </c>
      <c r="L36" s="16" t="s">
        <v>3</v>
      </c>
      <c r="M36" s="11" t="s">
        <v>17</v>
      </c>
      <c r="N36" s="4">
        <v>8.3888888888888893</v>
      </c>
    </row>
    <row r="37" spans="1:14" s="5" customFormat="1" ht="48" customHeight="1">
      <c r="A37" s="2">
        <v>33</v>
      </c>
      <c r="B37" s="12">
        <v>2563890142</v>
      </c>
      <c r="C37" s="12">
        <v>250371603060</v>
      </c>
      <c r="D37" s="13" t="s">
        <v>117</v>
      </c>
      <c r="E37" s="20" t="s">
        <v>33</v>
      </c>
      <c r="F37" s="15" t="s">
        <v>15</v>
      </c>
      <c r="G37" s="15" t="s">
        <v>85</v>
      </c>
      <c r="H37" s="3" t="s">
        <v>4</v>
      </c>
      <c r="I37" s="16" t="s">
        <v>3</v>
      </c>
      <c r="J37" s="16" t="s">
        <v>4</v>
      </c>
      <c r="K37" s="16" t="s">
        <v>6</v>
      </c>
      <c r="L37" s="16" t="s">
        <v>6</v>
      </c>
      <c r="M37" s="11" t="s">
        <v>17</v>
      </c>
      <c r="N37" s="4">
        <v>6.2777777777777777</v>
      </c>
    </row>
    <row r="38" spans="1:14" s="5" customFormat="1" ht="48" customHeight="1">
      <c r="A38" s="2">
        <v>34</v>
      </c>
      <c r="B38" s="12">
        <v>2563890152</v>
      </c>
      <c r="C38" s="12">
        <v>250371603061</v>
      </c>
      <c r="D38" s="13" t="s">
        <v>118</v>
      </c>
      <c r="E38" s="20" t="s">
        <v>33</v>
      </c>
      <c r="F38" s="15" t="s">
        <v>15</v>
      </c>
      <c r="G38" s="15" t="s">
        <v>85</v>
      </c>
      <c r="H38" s="3" t="s">
        <v>11</v>
      </c>
      <c r="I38" s="16" t="s">
        <v>11</v>
      </c>
      <c r="J38" s="16" t="s">
        <v>11</v>
      </c>
      <c r="K38" s="16" t="s">
        <v>11</v>
      </c>
      <c r="L38" s="16" t="s">
        <v>11</v>
      </c>
      <c r="M38" s="11" t="s">
        <v>17</v>
      </c>
      <c r="N38" s="4">
        <v>4</v>
      </c>
    </row>
    <row r="39" spans="1:14" s="5" customFormat="1" ht="48" customHeight="1">
      <c r="A39" s="2">
        <v>35</v>
      </c>
      <c r="B39" s="12">
        <v>2563890140</v>
      </c>
      <c r="C39" s="12">
        <v>250371603062</v>
      </c>
      <c r="D39" s="13" t="s">
        <v>119</v>
      </c>
      <c r="E39" s="20" t="s">
        <v>33</v>
      </c>
      <c r="F39" s="15" t="s">
        <v>15</v>
      </c>
      <c r="G39" s="15" t="s">
        <v>85</v>
      </c>
      <c r="H39" s="3" t="s">
        <v>11</v>
      </c>
      <c r="I39" s="16" t="s">
        <v>11</v>
      </c>
      <c r="J39" s="16" t="s">
        <v>7</v>
      </c>
      <c r="K39" s="16" t="s">
        <v>7</v>
      </c>
      <c r="L39" s="16" t="s">
        <v>11</v>
      </c>
      <c r="M39" s="11" t="s">
        <v>7</v>
      </c>
      <c r="N39" s="4">
        <v>0</v>
      </c>
    </row>
    <row r="40" spans="1:14" s="5" customFormat="1" ht="48" customHeight="1">
      <c r="A40" s="2">
        <v>36</v>
      </c>
      <c r="B40" s="12">
        <v>2563890124</v>
      </c>
      <c r="C40" s="12">
        <v>250371603065</v>
      </c>
      <c r="D40" s="13" t="s">
        <v>120</v>
      </c>
      <c r="E40" s="20" t="s">
        <v>33</v>
      </c>
      <c r="F40" s="15" t="s">
        <v>15</v>
      </c>
      <c r="G40" s="15" t="s">
        <v>85</v>
      </c>
      <c r="H40" s="3" t="s">
        <v>3</v>
      </c>
      <c r="I40" s="16" t="s">
        <v>3</v>
      </c>
      <c r="J40" s="16" t="s">
        <v>3</v>
      </c>
      <c r="K40" s="16" t="s">
        <v>5</v>
      </c>
      <c r="L40" s="16" t="s">
        <v>3</v>
      </c>
      <c r="M40" s="11" t="s">
        <v>17</v>
      </c>
      <c r="N40" s="4">
        <v>7.56</v>
      </c>
    </row>
    <row r="41" spans="1:14" s="5" customFormat="1" ht="48" customHeight="1">
      <c r="A41" s="2">
        <v>37</v>
      </c>
      <c r="B41" s="12">
        <v>2563890146</v>
      </c>
      <c r="C41" s="12">
        <v>250371603067</v>
      </c>
      <c r="D41" s="13" t="s">
        <v>121</v>
      </c>
      <c r="E41" s="20" t="s">
        <v>33</v>
      </c>
      <c r="F41" s="15" t="s">
        <v>15</v>
      </c>
      <c r="G41" s="15" t="s">
        <v>85</v>
      </c>
      <c r="H41" s="3" t="s">
        <v>11</v>
      </c>
      <c r="I41" s="16" t="s">
        <v>11</v>
      </c>
      <c r="J41" s="16" t="s">
        <v>11</v>
      </c>
      <c r="K41" s="16" t="s">
        <v>11</v>
      </c>
      <c r="L41" s="16" t="s">
        <v>11</v>
      </c>
      <c r="M41" s="11" t="s">
        <v>17</v>
      </c>
      <c r="N41" s="4">
        <v>4</v>
      </c>
    </row>
    <row r="42" spans="1:14" s="5" customFormat="1" ht="48" customHeight="1">
      <c r="A42" s="2">
        <v>38</v>
      </c>
      <c r="B42" s="12">
        <v>2563890035</v>
      </c>
      <c r="C42" s="12">
        <v>250371603069</v>
      </c>
      <c r="D42" s="13" t="s">
        <v>122</v>
      </c>
      <c r="E42" s="20" t="s">
        <v>33</v>
      </c>
      <c r="F42" s="15" t="s">
        <v>15</v>
      </c>
      <c r="G42" s="15" t="s">
        <v>85</v>
      </c>
      <c r="H42" s="3" t="s">
        <v>11</v>
      </c>
      <c r="I42" s="16" t="s">
        <v>5</v>
      </c>
      <c r="J42" s="16" t="s">
        <v>5</v>
      </c>
      <c r="K42" s="16" t="s">
        <v>11</v>
      </c>
      <c r="L42" s="16" t="s">
        <v>5</v>
      </c>
      <c r="M42" s="11" t="s">
        <v>17</v>
      </c>
      <c r="N42" s="4">
        <v>5.2222222222222223</v>
      </c>
    </row>
    <row r="43" spans="1:14" s="5" customFormat="1" ht="48" customHeight="1">
      <c r="A43" s="2">
        <v>39</v>
      </c>
      <c r="B43" s="12">
        <v>2563890112</v>
      </c>
      <c r="C43" s="12">
        <v>250371603070</v>
      </c>
      <c r="D43" s="13" t="s">
        <v>123</v>
      </c>
      <c r="E43" s="20" t="s">
        <v>33</v>
      </c>
      <c r="F43" s="15" t="s">
        <v>15</v>
      </c>
      <c r="G43" s="15" t="s">
        <v>85</v>
      </c>
      <c r="H43" s="3" t="s">
        <v>7</v>
      </c>
      <c r="I43" s="16" t="s">
        <v>11</v>
      </c>
      <c r="J43" s="16" t="s">
        <v>7</v>
      </c>
      <c r="K43" s="16" t="s">
        <v>7</v>
      </c>
      <c r="L43" s="16" t="s">
        <v>11</v>
      </c>
      <c r="M43" s="11" t="s">
        <v>7</v>
      </c>
      <c r="N43" s="4">
        <v>0</v>
      </c>
    </row>
    <row r="44" spans="1:14" s="5" customFormat="1" ht="48" customHeight="1">
      <c r="A44" s="2">
        <v>40</v>
      </c>
      <c r="B44" s="12">
        <v>2563890001</v>
      </c>
      <c r="C44" s="12">
        <v>250371603073</v>
      </c>
      <c r="D44" s="13" t="s">
        <v>124</v>
      </c>
      <c r="E44" s="20" t="s">
        <v>33</v>
      </c>
      <c r="F44" s="15" t="s">
        <v>15</v>
      </c>
      <c r="G44" s="15" t="s">
        <v>85</v>
      </c>
      <c r="H44" s="3" t="s">
        <v>1517</v>
      </c>
      <c r="I44" s="16" t="s">
        <v>7</v>
      </c>
      <c r="J44" s="16" t="s">
        <v>11</v>
      </c>
      <c r="K44" s="16" t="s">
        <v>6</v>
      </c>
      <c r="L44" s="16" t="s">
        <v>7</v>
      </c>
      <c r="M44" s="11" t="s">
        <v>1517</v>
      </c>
      <c r="N44" s="4">
        <v>0</v>
      </c>
    </row>
    <row r="45" spans="1:14" s="5" customFormat="1" ht="48" customHeight="1">
      <c r="A45" s="2">
        <v>41</v>
      </c>
      <c r="B45" s="12">
        <v>2563890093</v>
      </c>
      <c r="C45" s="12">
        <v>250371603075</v>
      </c>
      <c r="D45" s="13" t="s">
        <v>125</v>
      </c>
      <c r="E45" s="20" t="s">
        <v>33</v>
      </c>
      <c r="F45" s="15" t="s">
        <v>15</v>
      </c>
      <c r="G45" s="15" t="s">
        <v>85</v>
      </c>
      <c r="H45" s="3" t="s">
        <v>7</v>
      </c>
      <c r="I45" s="16" t="s">
        <v>7</v>
      </c>
      <c r="J45" s="16" t="s">
        <v>11</v>
      </c>
      <c r="K45" s="16" t="s">
        <v>6</v>
      </c>
      <c r="L45" s="16" t="s">
        <v>1517</v>
      </c>
      <c r="M45" s="11" t="s">
        <v>1517</v>
      </c>
      <c r="N45" s="4">
        <v>0</v>
      </c>
    </row>
    <row r="46" spans="1:14" s="5" customFormat="1" ht="48" customHeight="1">
      <c r="A46" s="2">
        <v>42</v>
      </c>
      <c r="B46" s="12">
        <v>2563890224</v>
      </c>
      <c r="C46" s="12">
        <v>250371603077</v>
      </c>
      <c r="D46" s="13" t="s">
        <v>126</v>
      </c>
      <c r="E46" s="20" t="s">
        <v>33</v>
      </c>
      <c r="F46" s="15" t="s">
        <v>15</v>
      </c>
      <c r="G46" s="15" t="s">
        <v>85</v>
      </c>
      <c r="H46" s="3" t="s">
        <v>11</v>
      </c>
      <c r="I46" s="16" t="s">
        <v>11</v>
      </c>
      <c r="J46" s="16" t="s">
        <v>6</v>
      </c>
      <c r="K46" s="16" t="s">
        <v>11</v>
      </c>
      <c r="L46" s="16" t="s">
        <v>6</v>
      </c>
      <c r="M46" s="11" t="s">
        <v>17</v>
      </c>
      <c r="N46" s="4">
        <v>4.4400000000000004</v>
      </c>
    </row>
    <row r="47" spans="1:14" s="5" customFormat="1" ht="48" customHeight="1">
      <c r="A47" s="2">
        <v>43</v>
      </c>
      <c r="B47" s="12">
        <v>2563890051</v>
      </c>
      <c r="C47" s="12">
        <v>250371603078</v>
      </c>
      <c r="D47" s="13" t="s">
        <v>127</v>
      </c>
      <c r="E47" s="20" t="s">
        <v>33</v>
      </c>
      <c r="F47" s="15" t="s">
        <v>15</v>
      </c>
      <c r="G47" s="15" t="s">
        <v>85</v>
      </c>
      <c r="H47" s="3" t="s">
        <v>6</v>
      </c>
      <c r="I47" s="16" t="s">
        <v>11</v>
      </c>
      <c r="J47" s="16" t="s">
        <v>5</v>
      </c>
      <c r="K47" s="16" t="s">
        <v>5</v>
      </c>
      <c r="L47" s="16" t="s">
        <v>11</v>
      </c>
      <c r="M47" s="11" t="s">
        <v>17</v>
      </c>
      <c r="N47" s="4">
        <v>5.0599999999999996</v>
      </c>
    </row>
    <row r="48" spans="1:14" s="5" customFormat="1" ht="48" customHeight="1">
      <c r="A48" s="2">
        <v>44</v>
      </c>
      <c r="B48" s="12">
        <v>2563890177</v>
      </c>
      <c r="C48" s="12">
        <v>250371603079</v>
      </c>
      <c r="D48" s="13" t="s">
        <v>128</v>
      </c>
      <c r="E48" s="20" t="s">
        <v>33</v>
      </c>
      <c r="F48" s="15" t="s">
        <v>15</v>
      </c>
      <c r="G48" s="15" t="s">
        <v>85</v>
      </c>
      <c r="H48" s="3" t="s">
        <v>1516</v>
      </c>
      <c r="I48" s="16" t="s">
        <v>1516</v>
      </c>
      <c r="J48" s="16" t="s">
        <v>1516</v>
      </c>
      <c r="K48" s="16" t="s">
        <v>1516</v>
      </c>
      <c r="L48" s="16" t="s">
        <v>1516</v>
      </c>
      <c r="M48" s="11" t="s">
        <v>1516</v>
      </c>
      <c r="N48" s="4">
        <v>0</v>
      </c>
    </row>
    <row r="49" spans="1:14" s="5" customFormat="1" ht="48" customHeight="1">
      <c r="A49" s="2">
        <v>45</v>
      </c>
      <c r="B49" s="12">
        <v>2563890125</v>
      </c>
      <c r="C49" s="12">
        <v>250371603080</v>
      </c>
      <c r="D49" s="13" t="s">
        <v>129</v>
      </c>
      <c r="E49" s="20" t="s">
        <v>33</v>
      </c>
      <c r="F49" s="15" t="s">
        <v>15</v>
      </c>
      <c r="G49" s="15" t="s">
        <v>85</v>
      </c>
      <c r="H49" s="3" t="s">
        <v>5</v>
      </c>
      <c r="I49" s="16" t="s">
        <v>11</v>
      </c>
      <c r="J49" s="16" t="s">
        <v>11</v>
      </c>
      <c r="K49" s="16" t="s">
        <v>11</v>
      </c>
      <c r="L49" s="16" t="s">
        <v>11</v>
      </c>
      <c r="M49" s="11" t="s">
        <v>17</v>
      </c>
      <c r="N49" s="4">
        <v>4.33</v>
      </c>
    </row>
    <row r="50" spans="1:14" s="5" customFormat="1" ht="48" customHeight="1">
      <c r="A50" s="2">
        <v>46</v>
      </c>
      <c r="B50" s="12">
        <v>2563890107</v>
      </c>
      <c r="C50" s="12">
        <v>250371603082</v>
      </c>
      <c r="D50" s="13" t="s">
        <v>130</v>
      </c>
      <c r="E50" s="20" t="s">
        <v>33</v>
      </c>
      <c r="F50" s="15" t="s">
        <v>15</v>
      </c>
      <c r="G50" s="15" t="s">
        <v>85</v>
      </c>
      <c r="H50" s="3" t="s">
        <v>1517</v>
      </c>
      <c r="I50" s="16" t="s">
        <v>11</v>
      </c>
      <c r="J50" s="16" t="s">
        <v>11</v>
      </c>
      <c r="K50" s="16" t="s">
        <v>7</v>
      </c>
      <c r="L50" s="16" t="s">
        <v>11</v>
      </c>
      <c r="M50" s="11" t="s">
        <v>1517</v>
      </c>
      <c r="N50" s="4">
        <v>0</v>
      </c>
    </row>
    <row r="51" spans="1:14" s="5" customFormat="1" ht="48" customHeight="1">
      <c r="A51" s="2">
        <v>47</v>
      </c>
      <c r="B51" s="12">
        <v>2563890014</v>
      </c>
      <c r="C51" s="12">
        <v>250371603083</v>
      </c>
      <c r="D51" s="13" t="s">
        <v>131</v>
      </c>
      <c r="E51" s="20" t="s">
        <v>33</v>
      </c>
      <c r="F51" s="15" t="s">
        <v>15</v>
      </c>
      <c r="G51" s="15" t="s">
        <v>85</v>
      </c>
      <c r="H51" s="3" t="s">
        <v>11</v>
      </c>
      <c r="I51" s="16" t="s">
        <v>4</v>
      </c>
      <c r="J51" s="16" t="s">
        <v>6</v>
      </c>
      <c r="K51" s="16" t="s">
        <v>11</v>
      </c>
      <c r="L51" s="16" t="s">
        <v>11</v>
      </c>
      <c r="M51" s="11" t="s">
        <v>17</v>
      </c>
      <c r="N51" s="4">
        <v>4.7222222222222223</v>
      </c>
    </row>
    <row r="52" spans="1:14" s="5" customFormat="1" ht="48" customHeight="1">
      <c r="A52" s="2">
        <v>48</v>
      </c>
      <c r="B52" s="12">
        <v>2563890018</v>
      </c>
      <c r="C52" s="12">
        <v>250371603085</v>
      </c>
      <c r="D52" s="13" t="s">
        <v>132</v>
      </c>
      <c r="E52" s="20" t="s">
        <v>33</v>
      </c>
      <c r="F52" s="15" t="s">
        <v>15</v>
      </c>
      <c r="G52" s="15" t="s">
        <v>85</v>
      </c>
      <c r="H52" s="3" t="s">
        <v>4</v>
      </c>
      <c r="I52" s="16" t="s">
        <v>3</v>
      </c>
      <c r="J52" s="16" t="s">
        <v>3</v>
      </c>
      <c r="K52" s="16" t="s">
        <v>5</v>
      </c>
      <c r="L52" s="16" t="s">
        <v>4</v>
      </c>
      <c r="M52" s="11" t="s">
        <v>17</v>
      </c>
      <c r="N52" s="4">
        <v>7.17</v>
      </c>
    </row>
    <row r="53" spans="1:14" s="5" customFormat="1" ht="48" customHeight="1">
      <c r="A53" s="2">
        <v>49</v>
      </c>
      <c r="B53" s="12">
        <v>2563890162</v>
      </c>
      <c r="C53" s="12">
        <v>250371603087</v>
      </c>
      <c r="D53" s="13" t="s">
        <v>133</v>
      </c>
      <c r="E53" s="20" t="s">
        <v>33</v>
      </c>
      <c r="F53" s="15" t="s">
        <v>15</v>
      </c>
      <c r="G53" s="15" t="s">
        <v>85</v>
      </c>
      <c r="H53" s="3" t="s">
        <v>6</v>
      </c>
      <c r="I53" s="16" t="s">
        <v>11</v>
      </c>
      <c r="J53" s="16" t="s">
        <v>11</v>
      </c>
      <c r="K53" s="16" t="s">
        <v>7</v>
      </c>
      <c r="L53" s="16" t="s">
        <v>11</v>
      </c>
      <c r="M53" s="11" t="s">
        <v>7</v>
      </c>
      <c r="N53" s="4">
        <v>0</v>
      </c>
    </row>
    <row r="54" spans="1:14" s="5" customFormat="1" ht="48" customHeight="1">
      <c r="A54" s="2">
        <v>50</v>
      </c>
      <c r="B54" s="12">
        <v>2563890138</v>
      </c>
      <c r="C54" s="12">
        <v>250371603088</v>
      </c>
      <c r="D54" s="13" t="s">
        <v>134</v>
      </c>
      <c r="E54" s="20" t="s">
        <v>33</v>
      </c>
      <c r="F54" s="15" t="s">
        <v>15</v>
      </c>
      <c r="G54" s="15" t="s">
        <v>85</v>
      </c>
      <c r="H54" s="3" t="s">
        <v>11</v>
      </c>
      <c r="I54" s="16" t="s">
        <v>11</v>
      </c>
      <c r="J54" s="16" t="s">
        <v>11</v>
      </c>
      <c r="K54" s="16" t="s">
        <v>7</v>
      </c>
      <c r="L54" s="16" t="s">
        <v>11</v>
      </c>
      <c r="M54" s="11" t="s">
        <v>7</v>
      </c>
      <c r="N54" s="4">
        <v>0</v>
      </c>
    </row>
    <row r="55" spans="1:14" s="5" customFormat="1" ht="48" customHeight="1">
      <c r="A55" s="2">
        <v>51</v>
      </c>
      <c r="B55" s="12">
        <v>2563890019</v>
      </c>
      <c r="C55" s="12">
        <v>250371603089</v>
      </c>
      <c r="D55" s="13" t="s">
        <v>135</v>
      </c>
      <c r="E55" s="20" t="s">
        <v>33</v>
      </c>
      <c r="F55" s="15" t="s">
        <v>15</v>
      </c>
      <c r="G55" s="15" t="s">
        <v>85</v>
      </c>
      <c r="H55" s="3" t="s">
        <v>7</v>
      </c>
      <c r="I55" s="16" t="s">
        <v>7</v>
      </c>
      <c r="J55" s="16" t="s">
        <v>7</v>
      </c>
      <c r="K55" s="16" t="s">
        <v>7</v>
      </c>
      <c r="L55" s="16" t="s">
        <v>7</v>
      </c>
      <c r="M55" s="11" t="s">
        <v>7</v>
      </c>
      <c r="N55" s="4">
        <v>0</v>
      </c>
    </row>
    <row r="56" spans="1:14" s="5" customFormat="1" ht="48" customHeight="1">
      <c r="A56" s="2">
        <v>52</v>
      </c>
      <c r="B56" s="12">
        <v>2563890158</v>
      </c>
      <c r="C56" s="12">
        <v>250371603090</v>
      </c>
      <c r="D56" s="13" t="s">
        <v>136</v>
      </c>
      <c r="E56" s="20" t="s">
        <v>33</v>
      </c>
      <c r="F56" s="15" t="s">
        <v>15</v>
      </c>
      <c r="G56" s="15" t="s">
        <v>85</v>
      </c>
      <c r="H56" s="3" t="s">
        <v>5</v>
      </c>
      <c r="I56" s="16" t="s">
        <v>4</v>
      </c>
      <c r="J56" s="16" t="s">
        <v>6</v>
      </c>
      <c r="K56" s="16" t="s">
        <v>11</v>
      </c>
      <c r="L56" s="16" t="s">
        <v>11</v>
      </c>
      <c r="M56" s="11" t="s">
        <v>17</v>
      </c>
      <c r="N56" s="4">
        <v>5.0555555555555554</v>
      </c>
    </row>
    <row r="57" spans="1:14" s="5" customFormat="1" ht="48" customHeight="1">
      <c r="A57" s="2">
        <v>53</v>
      </c>
      <c r="B57" s="12">
        <v>2563890163</v>
      </c>
      <c r="C57" s="12">
        <v>250371603091</v>
      </c>
      <c r="D57" s="13" t="s">
        <v>137</v>
      </c>
      <c r="E57" s="20" t="s">
        <v>33</v>
      </c>
      <c r="F57" s="15" t="s">
        <v>15</v>
      </c>
      <c r="G57" s="15" t="s">
        <v>85</v>
      </c>
      <c r="H57" s="3" t="s">
        <v>3</v>
      </c>
      <c r="I57" s="16" t="s">
        <v>11</v>
      </c>
      <c r="J57" s="16" t="s">
        <v>3</v>
      </c>
      <c r="K57" s="16" t="s">
        <v>11</v>
      </c>
      <c r="L57" s="16" t="s">
        <v>4</v>
      </c>
      <c r="M57" s="11" t="s">
        <v>17</v>
      </c>
      <c r="N57" s="4">
        <v>6.2222222222222223</v>
      </c>
    </row>
    <row r="58" spans="1:14" s="5" customFormat="1" ht="48" customHeight="1">
      <c r="A58" s="2">
        <v>54</v>
      </c>
      <c r="B58" s="12">
        <v>2563890005</v>
      </c>
      <c r="C58" s="12">
        <v>250371603092</v>
      </c>
      <c r="D58" s="13" t="s">
        <v>138</v>
      </c>
      <c r="E58" s="20" t="s">
        <v>33</v>
      </c>
      <c r="F58" s="15" t="s">
        <v>15</v>
      </c>
      <c r="G58" s="15" t="s">
        <v>85</v>
      </c>
      <c r="H58" s="3" t="s">
        <v>4</v>
      </c>
      <c r="I58" s="16" t="s">
        <v>6</v>
      </c>
      <c r="J58" s="16" t="s">
        <v>11</v>
      </c>
      <c r="K58" s="16" t="s">
        <v>11</v>
      </c>
      <c r="L58" s="16" t="s">
        <v>6</v>
      </c>
      <c r="M58" s="11" t="s">
        <v>17</v>
      </c>
      <c r="N58" s="4">
        <v>4.8888888888888893</v>
      </c>
    </row>
    <row r="59" spans="1:14" s="5" customFormat="1" ht="48" customHeight="1">
      <c r="A59" s="2">
        <v>55</v>
      </c>
      <c r="B59" s="12">
        <v>2563890012</v>
      </c>
      <c r="C59" s="12">
        <v>250371603097</v>
      </c>
      <c r="D59" s="13" t="s">
        <v>139</v>
      </c>
      <c r="E59" s="20" t="s">
        <v>33</v>
      </c>
      <c r="F59" s="15" t="s">
        <v>15</v>
      </c>
      <c r="G59" s="15" t="s">
        <v>85</v>
      </c>
      <c r="H59" s="3" t="s">
        <v>4</v>
      </c>
      <c r="I59" s="16" t="s">
        <v>2</v>
      </c>
      <c r="J59" s="16" t="s">
        <v>4</v>
      </c>
      <c r="K59" s="16" t="s">
        <v>11</v>
      </c>
      <c r="L59" s="16" t="s">
        <v>11</v>
      </c>
      <c r="M59" s="11" t="s">
        <v>17</v>
      </c>
      <c r="N59" s="4">
        <v>6</v>
      </c>
    </row>
    <row r="60" spans="1:14" s="5" customFormat="1" ht="48" customHeight="1">
      <c r="A60" s="2">
        <v>56</v>
      </c>
      <c r="B60" s="12">
        <v>2563890153</v>
      </c>
      <c r="C60" s="12">
        <v>250371603099</v>
      </c>
      <c r="D60" s="13" t="s">
        <v>140</v>
      </c>
      <c r="E60" s="20" t="s">
        <v>33</v>
      </c>
      <c r="F60" s="15" t="s">
        <v>15</v>
      </c>
      <c r="G60" s="15" t="s">
        <v>85</v>
      </c>
      <c r="H60" s="3" t="s">
        <v>4</v>
      </c>
      <c r="I60" s="16" t="s">
        <v>11</v>
      </c>
      <c r="J60" s="16" t="s">
        <v>4</v>
      </c>
      <c r="K60" s="16" t="s">
        <v>11</v>
      </c>
      <c r="L60" s="16" t="s">
        <v>6</v>
      </c>
      <c r="M60" s="11" t="s">
        <v>17</v>
      </c>
      <c r="N60" s="4">
        <v>5.39</v>
      </c>
    </row>
    <row r="61" spans="1:14" s="5" customFormat="1" ht="48" customHeight="1">
      <c r="A61" s="2">
        <v>57</v>
      </c>
      <c r="B61" s="12">
        <v>2563890150</v>
      </c>
      <c r="C61" s="12">
        <v>250371603100</v>
      </c>
      <c r="D61" s="13" t="s">
        <v>141</v>
      </c>
      <c r="E61" s="20" t="s">
        <v>33</v>
      </c>
      <c r="F61" s="15" t="s">
        <v>15</v>
      </c>
      <c r="G61" s="15" t="s">
        <v>85</v>
      </c>
      <c r="H61" s="3" t="s">
        <v>11</v>
      </c>
      <c r="I61" s="16" t="s">
        <v>11</v>
      </c>
      <c r="J61" s="16" t="s">
        <v>11</v>
      </c>
      <c r="K61" s="16" t="s">
        <v>11</v>
      </c>
      <c r="L61" s="16" t="s">
        <v>11</v>
      </c>
      <c r="M61" s="11" t="s">
        <v>17</v>
      </c>
      <c r="N61" s="4">
        <v>4</v>
      </c>
    </row>
    <row r="62" spans="1:14" s="5" customFormat="1" ht="48" customHeight="1">
      <c r="A62" s="2">
        <v>58</v>
      </c>
      <c r="B62" s="12">
        <v>2563890195</v>
      </c>
      <c r="C62" s="12">
        <v>250371603101</v>
      </c>
      <c r="D62" s="13" t="s">
        <v>142</v>
      </c>
      <c r="E62" s="20" t="s">
        <v>33</v>
      </c>
      <c r="F62" s="15" t="s">
        <v>15</v>
      </c>
      <c r="G62" s="15" t="s">
        <v>85</v>
      </c>
      <c r="H62" s="3" t="s">
        <v>11</v>
      </c>
      <c r="I62" s="16" t="s">
        <v>11</v>
      </c>
      <c r="J62" s="16" t="s">
        <v>4</v>
      </c>
      <c r="K62" s="16" t="s">
        <v>11</v>
      </c>
      <c r="L62" s="16" t="s">
        <v>6</v>
      </c>
      <c r="M62" s="11" t="s">
        <v>17</v>
      </c>
      <c r="N62" s="4">
        <v>4.8888888888888893</v>
      </c>
    </row>
    <row r="63" spans="1:14" s="5" customFormat="1" ht="48" customHeight="1">
      <c r="A63" s="2">
        <v>59</v>
      </c>
      <c r="B63" s="12">
        <v>2563890057</v>
      </c>
      <c r="C63" s="12">
        <v>250371603102</v>
      </c>
      <c r="D63" s="13" t="s">
        <v>143</v>
      </c>
      <c r="E63" s="20" t="s">
        <v>33</v>
      </c>
      <c r="F63" s="15" t="s">
        <v>15</v>
      </c>
      <c r="G63" s="15" t="s">
        <v>85</v>
      </c>
      <c r="H63" s="3" t="s">
        <v>7</v>
      </c>
      <c r="I63" s="16" t="s">
        <v>11</v>
      </c>
      <c r="J63" s="16" t="s">
        <v>4</v>
      </c>
      <c r="K63" s="16" t="s">
        <v>7</v>
      </c>
      <c r="L63" s="16" t="s">
        <v>1517</v>
      </c>
      <c r="M63" s="11" t="s">
        <v>1517</v>
      </c>
      <c r="N63" s="4">
        <v>0</v>
      </c>
    </row>
    <row r="64" spans="1:14" s="5" customFormat="1" ht="48" customHeight="1">
      <c r="A64" s="2">
        <v>60</v>
      </c>
      <c r="B64" s="12">
        <v>2563890237</v>
      </c>
      <c r="C64" s="12">
        <v>250371603103</v>
      </c>
      <c r="D64" s="13" t="s">
        <v>144</v>
      </c>
      <c r="E64" s="20" t="s">
        <v>33</v>
      </c>
      <c r="F64" s="15" t="s">
        <v>15</v>
      </c>
      <c r="G64" s="15" t="s">
        <v>85</v>
      </c>
      <c r="H64" s="3" t="s">
        <v>11</v>
      </c>
      <c r="I64" s="16" t="s">
        <v>11</v>
      </c>
      <c r="J64" s="16" t="s">
        <v>11</v>
      </c>
      <c r="K64" s="16" t="s">
        <v>11</v>
      </c>
      <c r="L64" s="16" t="s">
        <v>11</v>
      </c>
      <c r="M64" s="11" t="s">
        <v>17</v>
      </c>
      <c r="N64" s="4">
        <v>4</v>
      </c>
    </row>
    <row r="65" spans="1:14" s="5" customFormat="1" ht="48" customHeight="1">
      <c r="A65" s="2">
        <v>61</v>
      </c>
      <c r="B65" s="12">
        <v>2563890250</v>
      </c>
      <c r="C65" s="12">
        <v>250371603104</v>
      </c>
      <c r="D65" s="13" t="s">
        <v>145</v>
      </c>
      <c r="E65" s="20" t="s">
        <v>33</v>
      </c>
      <c r="F65" s="15" t="s">
        <v>15</v>
      </c>
      <c r="G65" s="15" t="s">
        <v>85</v>
      </c>
      <c r="H65" s="3" t="s">
        <v>11</v>
      </c>
      <c r="I65" s="16" t="s">
        <v>7</v>
      </c>
      <c r="J65" s="16" t="s">
        <v>11</v>
      </c>
      <c r="K65" s="16" t="s">
        <v>1517</v>
      </c>
      <c r="L65" s="16" t="s">
        <v>6</v>
      </c>
      <c r="M65" s="11" t="s">
        <v>1517</v>
      </c>
      <c r="N65" s="4">
        <v>0</v>
      </c>
    </row>
    <row r="66" spans="1:14" s="5" customFormat="1" ht="48" customHeight="1">
      <c r="A66" s="2">
        <v>62</v>
      </c>
      <c r="B66" s="12">
        <v>2563890065</v>
      </c>
      <c r="C66" s="12">
        <v>250371603106</v>
      </c>
      <c r="D66" s="13" t="s">
        <v>146</v>
      </c>
      <c r="E66" s="20" t="s">
        <v>33</v>
      </c>
      <c r="F66" s="15" t="s">
        <v>15</v>
      </c>
      <c r="G66" s="15" t="s">
        <v>85</v>
      </c>
      <c r="H66" s="3" t="s">
        <v>3</v>
      </c>
      <c r="I66" s="16" t="s">
        <v>2</v>
      </c>
      <c r="J66" s="16" t="s">
        <v>4</v>
      </c>
      <c r="K66" s="16" t="s">
        <v>2</v>
      </c>
      <c r="L66" s="16" t="s">
        <v>4</v>
      </c>
      <c r="M66" s="11" t="s">
        <v>17</v>
      </c>
      <c r="N66" s="4">
        <v>7.9444444444444446</v>
      </c>
    </row>
    <row r="67" spans="1:14" s="5" customFormat="1" ht="48" customHeight="1">
      <c r="A67" s="2">
        <v>63</v>
      </c>
      <c r="B67" s="12">
        <v>2563890223</v>
      </c>
      <c r="C67" s="12">
        <v>250371603107</v>
      </c>
      <c r="D67" s="13" t="s">
        <v>147</v>
      </c>
      <c r="E67" s="20" t="s">
        <v>33</v>
      </c>
      <c r="F67" s="15" t="s">
        <v>15</v>
      </c>
      <c r="G67" s="15" t="s">
        <v>85</v>
      </c>
      <c r="H67" s="3" t="s">
        <v>3</v>
      </c>
      <c r="I67" s="16" t="s">
        <v>2</v>
      </c>
      <c r="J67" s="16" t="s">
        <v>2</v>
      </c>
      <c r="K67" s="16" t="s">
        <v>3</v>
      </c>
      <c r="L67" s="16" t="s">
        <v>3</v>
      </c>
      <c r="M67" s="11" t="s">
        <v>17</v>
      </c>
      <c r="N67" s="4">
        <v>8.3888888888888893</v>
      </c>
    </row>
  </sheetData>
  <autoFilter ref="A3:N67">
    <filterColumn colId="6"/>
    <filterColumn colId="12"/>
  </autoFilter>
  <mergeCells count="10">
    <mergeCell ref="A1:N1"/>
    <mergeCell ref="A2:N2"/>
    <mergeCell ref="A3:A4"/>
    <mergeCell ref="B3:B4"/>
    <mergeCell ref="C3:C4"/>
    <mergeCell ref="D3:D4"/>
    <mergeCell ref="E3:E4"/>
    <mergeCell ref="F3:F4"/>
    <mergeCell ref="G3:G4"/>
    <mergeCell ref="N3:N4"/>
  </mergeCells>
  <printOptions horizontalCentered="1"/>
  <pageMargins left="0.53" right="0.48" top="0.31" bottom="0.44" header="0.22" footer="0.3"/>
  <pageSetup paperSize="8" scale="90" orientation="landscape" r:id="rId1"/>
</worksheet>
</file>

<file path=xl/worksheets/sheet22.xml><?xml version="1.0" encoding="utf-8"?>
<worksheet xmlns="http://schemas.openxmlformats.org/spreadsheetml/2006/main" xmlns:r="http://schemas.openxmlformats.org/officeDocument/2006/relationships">
  <sheetPr filterMode="1"/>
  <dimension ref="A1:N32"/>
  <sheetViews>
    <sheetView workbookViewId="0">
      <selection activeCell="L39" sqref="L39"/>
    </sheetView>
  </sheetViews>
  <sheetFormatPr defaultRowHeight="15"/>
  <cols>
    <col min="1" max="1" width="6.5703125" style="6" bestFit="1" customWidth="1"/>
    <col min="2" max="2" width="16.28515625" style="6" customWidth="1"/>
    <col min="3" max="3" width="18.28515625" style="6" bestFit="1" customWidth="1"/>
    <col min="4" max="4" width="32.5703125" style="6" customWidth="1"/>
    <col min="5" max="5" width="10" style="32" customWidth="1"/>
    <col min="6" max="6" width="10.85546875" style="32" customWidth="1"/>
    <col min="7" max="7" width="13.5703125" style="6" customWidth="1"/>
    <col min="8" max="9" width="12" style="6" customWidth="1"/>
    <col min="10" max="10" width="18.85546875" style="6" customWidth="1"/>
    <col min="11" max="12" width="17.85546875" style="6" customWidth="1"/>
    <col min="13" max="13" width="15.28515625" style="6" customWidth="1"/>
    <col min="14" max="14" width="10.28515625" style="7" customWidth="1"/>
    <col min="15" max="16384" width="9.140625" style="6"/>
  </cols>
  <sheetData>
    <row r="1" spans="1:14" s="31" customFormat="1" ht="30" customHeight="1">
      <c r="A1" s="58" t="s">
        <v>1519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</row>
    <row r="2" spans="1:14" s="5" customFormat="1" ht="30" customHeight="1">
      <c r="A2" s="59" t="s">
        <v>1518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</row>
    <row r="3" spans="1:14" s="8" customFormat="1" ht="74.25" customHeight="1">
      <c r="A3" s="53" t="s">
        <v>1</v>
      </c>
      <c r="B3" s="53" t="s">
        <v>16</v>
      </c>
      <c r="C3" s="53" t="s">
        <v>12</v>
      </c>
      <c r="D3" s="53" t="s">
        <v>13</v>
      </c>
      <c r="E3" s="53" t="s">
        <v>14</v>
      </c>
      <c r="F3" s="53" t="s">
        <v>0</v>
      </c>
      <c r="G3" s="53" t="s">
        <v>31</v>
      </c>
      <c r="H3" s="1" t="s">
        <v>78</v>
      </c>
      <c r="I3" s="1" t="s">
        <v>79</v>
      </c>
      <c r="J3" s="1" t="s">
        <v>80</v>
      </c>
      <c r="K3" s="1" t="s">
        <v>81</v>
      </c>
      <c r="L3" s="1" t="s">
        <v>82</v>
      </c>
      <c r="M3" s="1" t="s">
        <v>10</v>
      </c>
      <c r="N3" s="55" t="s">
        <v>9</v>
      </c>
    </row>
    <row r="4" spans="1:14" s="8" customFormat="1" ht="29.25" hidden="1" customHeight="1">
      <c r="A4" s="54"/>
      <c r="B4" s="54"/>
      <c r="C4" s="54"/>
      <c r="D4" s="54"/>
      <c r="E4" s="54"/>
      <c r="F4" s="54"/>
      <c r="G4" s="54"/>
      <c r="H4" s="10">
        <v>3</v>
      </c>
      <c r="I4" s="10">
        <v>3</v>
      </c>
      <c r="J4" s="10">
        <v>4</v>
      </c>
      <c r="K4" s="10">
        <v>4</v>
      </c>
      <c r="L4" s="10">
        <v>4</v>
      </c>
      <c r="M4" s="10">
        <f>SUM(H4:L4)</f>
        <v>18</v>
      </c>
      <c r="N4" s="56"/>
    </row>
    <row r="5" spans="1:14" s="5" customFormat="1" ht="48" customHeight="1">
      <c r="A5" s="2">
        <v>1</v>
      </c>
      <c r="B5" s="12">
        <v>2563890214</v>
      </c>
      <c r="C5" s="12">
        <v>250371604001</v>
      </c>
      <c r="D5" s="13" t="s">
        <v>148</v>
      </c>
      <c r="E5" s="20" t="s">
        <v>26</v>
      </c>
      <c r="F5" s="15" t="s">
        <v>15</v>
      </c>
      <c r="G5" s="15" t="s">
        <v>34</v>
      </c>
      <c r="H5" s="3" t="s">
        <v>4</v>
      </c>
      <c r="I5" s="16" t="s">
        <v>4</v>
      </c>
      <c r="J5" s="16" t="s">
        <v>6</v>
      </c>
      <c r="K5" s="16" t="s">
        <v>6</v>
      </c>
      <c r="L5" s="16" t="s">
        <v>6</v>
      </c>
      <c r="M5" s="11" t="s">
        <v>17</v>
      </c>
      <c r="N5" s="4">
        <v>5.666666666666667</v>
      </c>
    </row>
    <row r="6" spans="1:14" s="5" customFormat="1" ht="48" customHeight="1">
      <c r="A6" s="2">
        <v>2</v>
      </c>
      <c r="B6" s="12">
        <v>2563890110</v>
      </c>
      <c r="C6" s="12">
        <v>250371604003</v>
      </c>
      <c r="D6" s="13" t="s">
        <v>149</v>
      </c>
      <c r="E6" s="20" t="s">
        <v>26</v>
      </c>
      <c r="F6" s="15" t="s">
        <v>15</v>
      </c>
      <c r="G6" s="15" t="s">
        <v>34</v>
      </c>
      <c r="H6" s="3" t="s">
        <v>4</v>
      </c>
      <c r="I6" s="16" t="s">
        <v>4</v>
      </c>
      <c r="J6" s="16" t="s">
        <v>4</v>
      </c>
      <c r="K6" s="16" t="s">
        <v>11</v>
      </c>
      <c r="L6" s="16" t="s">
        <v>11</v>
      </c>
      <c r="M6" s="11" t="s">
        <v>17</v>
      </c>
      <c r="N6" s="4">
        <v>5.666666666666667</v>
      </c>
    </row>
    <row r="7" spans="1:14" s="5" customFormat="1" ht="48" customHeight="1">
      <c r="A7" s="2">
        <v>3</v>
      </c>
      <c r="B7" s="12">
        <v>2563890145</v>
      </c>
      <c r="C7" s="12">
        <v>250371604004</v>
      </c>
      <c r="D7" s="13" t="s">
        <v>150</v>
      </c>
      <c r="E7" s="20" t="s">
        <v>26</v>
      </c>
      <c r="F7" s="15" t="s">
        <v>15</v>
      </c>
      <c r="G7" s="15" t="s">
        <v>34</v>
      </c>
      <c r="H7" s="3" t="s">
        <v>11</v>
      </c>
      <c r="I7" s="16" t="s">
        <v>11</v>
      </c>
      <c r="J7" s="16" t="s">
        <v>11</v>
      </c>
      <c r="K7" s="16" t="s">
        <v>11</v>
      </c>
      <c r="L7" s="16" t="s">
        <v>11</v>
      </c>
      <c r="M7" s="11" t="s">
        <v>17</v>
      </c>
      <c r="N7" s="4">
        <v>4</v>
      </c>
    </row>
    <row r="8" spans="1:14" s="5" customFormat="1" ht="48" hidden="1" customHeight="1">
      <c r="A8" s="2">
        <v>4</v>
      </c>
      <c r="B8" s="12">
        <v>2563890031</v>
      </c>
      <c r="C8" s="12">
        <v>250371604005</v>
      </c>
      <c r="D8" s="13" t="s">
        <v>151</v>
      </c>
      <c r="E8" s="20" t="s">
        <v>26</v>
      </c>
      <c r="F8" s="15" t="s">
        <v>15</v>
      </c>
      <c r="G8" s="15" t="s">
        <v>34</v>
      </c>
      <c r="H8" s="3" t="s">
        <v>11</v>
      </c>
      <c r="I8" s="16" t="s">
        <v>5</v>
      </c>
      <c r="J8" s="16" t="s">
        <v>6</v>
      </c>
      <c r="K8" s="16" t="s">
        <v>1517</v>
      </c>
      <c r="L8" s="16" t="s">
        <v>11</v>
      </c>
      <c r="M8" s="11" t="s">
        <v>1517</v>
      </c>
      <c r="N8" s="4">
        <v>0</v>
      </c>
    </row>
    <row r="9" spans="1:14" s="5" customFormat="1" ht="48" customHeight="1">
      <c r="A9" s="2">
        <v>5</v>
      </c>
      <c r="B9" s="12">
        <v>2563890167</v>
      </c>
      <c r="C9" s="12">
        <v>250371604007</v>
      </c>
      <c r="D9" s="13" t="s">
        <v>152</v>
      </c>
      <c r="E9" s="20" t="s">
        <v>26</v>
      </c>
      <c r="F9" s="15" t="s">
        <v>15</v>
      </c>
      <c r="G9" s="15" t="s">
        <v>34</v>
      </c>
      <c r="H9" s="3" t="s">
        <v>6</v>
      </c>
      <c r="I9" s="16" t="s">
        <v>11</v>
      </c>
      <c r="J9" s="16" t="s">
        <v>5</v>
      </c>
      <c r="K9" s="16" t="s">
        <v>6</v>
      </c>
      <c r="L9" s="16" t="s">
        <v>11</v>
      </c>
      <c r="M9" s="11" t="s">
        <v>17</v>
      </c>
      <c r="N9" s="4">
        <v>4.833333333333333</v>
      </c>
    </row>
    <row r="10" spans="1:14" s="5" customFormat="1" ht="48" hidden="1" customHeight="1">
      <c r="A10" s="2">
        <v>6</v>
      </c>
      <c r="B10" s="12">
        <v>2563890092</v>
      </c>
      <c r="C10" s="12">
        <v>250371604008</v>
      </c>
      <c r="D10" s="13" t="s">
        <v>153</v>
      </c>
      <c r="E10" s="20" t="s">
        <v>26</v>
      </c>
      <c r="F10" s="15" t="s">
        <v>15</v>
      </c>
      <c r="G10" s="15" t="s">
        <v>34</v>
      </c>
      <c r="H10" s="3" t="s">
        <v>11</v>
      </c>
      <c r="I10" s="16" t="s">
        <v>4</v>
      </c>
      <c r="J10" s="16" t="s">
        <v>4</v>
      </c>
      <c r="K10" s="16" t="s">
        <v>1517</v>
      </c>
      <c r="L10" s="16" t="s">
        <v>1517</v>
      </c>
      <c r="M10" s="11" t="s">
        <v>1517</v>
      </c>
      <c r="N10" s="4">
        <v>0</v>
      </c>
    </row>
    <row r="11" spans="1:14" s="5" customFormat="1" ht="48" customHeight="1">
      <c r="A11" s="2">
        <v>7</v>
      </c>
      <c r="B11" s="12">
        <v>2563890039</v>
      </c>
      <c r="C11" s="12">
        <v>250371604009</v>
      </c>
      <c r="D11" s="13" t="s">
        <v>154</v>
      </c>
      <c r="E11" s="20" t="s">
        <v>26</v>
      </c>
      <c r="F11" s="15" t="s">
        <v>15</v>
      </c>
      <c r="G11" s="15" t="s">
        <v>34</v>
      </c>
      <c r="H11" s="3" t="s">
        <v>6</v>
      </c>
      <c r="I11" s="16" t="s">
        <v>6</v>
      </c>
      <c r="J11" s="16" t="s">
        <v>3</v>
      </c>
      <c r="K11" s="16" t="s">
        <v>6</v>
      </c>
      <c r="L11" s="16" t="s">
        <v>4</v>
      </c>
      <c r="M11" s="11" t="s">
        <v>17</v>
      </c>
      <c r="N11" s="4">
        <v>6.11</v>
      </c>
    </row>
    <row r="12" spans="1:14" s="5" customFormat="1" ht="48" hidden="1" customHeight="1">
      <c r="A12" s="2">
        <v>8</v>
      </c>
      <c r="B12" s="12">
        <v>2563890151</v>
      </c>
      <c r="C12" s="12">
        <v>250371604011</v>
      </c>
      <c r="D12" s="13" t="s">
        <v>155</v>
      </c>
      <c r="E12" s="20" t="s">
        <v>26</v>
      </c>
      <c r="F12" s="15" t="s">
        <v>15</v>
      </c>
      <c r="G12" s="15" t="s">
        <v>34</v>
      </c>
      <c r="H12" s="3" t="s">
        <v>11</v>
      </c>
      <c r="I12" s="16" t="s">
        <v>7</v>
      </c>
      <c r="J12" s="16" t="s">
        <v>11</v>
      </c>
      <c r="K12" s="16" t="s">
        <v>11</v>
      </c>
      <c r="L12" s="16" t="s">
        <v>11</v>
      </c>
      <c r="M12" s="11" t="s">
        <v>7</v>
      </c>
      <c r="N12" s="4">
        <v>0</v>
      </c>
    </row>
    <row r="13" spans="1:14" s="5" customFormat="1" ht="48" customHeight="1">
      <c r="A13" s="2">
        <v>9</v>
      </c>
      <c r="B13" s="12">
        <v>2563890045</v>
      </c>
      <c r="C13" s="12">
        <v>250371604015</v>
      </c>
      <c r="D13" s="13" t="s">
        <v>156</v>
      </c>
      <c r="E13" s="20" t="s">
        <v>26</v>
      </c>
      <c r="F13" s="15" t="s">
        <v>15</v>
      </c>
      <c r="G13" s="15" t="s">
        <v>34</v>
      </c>
      <c r="H13" s="3" t="s">
        <v>5</v>
      </c>
      <c r="I13" s="16" t="s">
        <v>5</v>
      </c>
      <c r="J13" s="16" t="s">
        <v>4</v>
      </c>
      <c r="K13" s="16" t="s">
        <v>5</v>
      </c>
      <c r="L13" s="16" t="s">
        <v>5</v>
      </c>
      <c r="M13" s="11" t="s">
        <v>17</v>
      </c>
      <c r="N13" s="4">
        <v>6.2222222222222223</v>
      </c>
    </row>
    <row r="14" spans="1:14" s="5" customFormat="1" ht="48" customHeight="1">
      <c r="A14" s="2">
        <v>10</v>
      </c>
      <c r="B14" s="12">
        <v>2563890207</v>
      </c>
      <c r="C14" s="12">
        <v>250371604016</v>
      </c>
      <c r="D14" s="13" t="s">
        <v>157</v>
      </c>
      <c r="E14" s="20" t="s">
        <v>26</v>
      </c>
      <c r="F14" s="15" t="s">
        <v>15</v>
      </c>
      <c r="G14" s="15" t="s">
        <v>34</v>
      </c>
      <c r="H14" s="3" t="s">
        <v>6</v>
      </c>
      <c r="I14" s="16" t="s">
        <v>3</v>
      </c>
      <c r="J14" s="16" t="s">
        <v>3</v>
      </c>
      <c r="K14" s="16" t="s">
        <v>3</v>
      </c>
      <c r="L14" s="16" t="s">
        <v>3</v>
      </c>
      <c r="M14" s="11" t="s">
        <v>17</v>
      </c>
      <c r="N14" s="4">
        <v>7.5</v>
      </c>
    </row>
    <row r="15" spans="1:14" s="5" customFormat="1" ht="48" customHeight="1">
      <c r="A15" s="2">
        <v>11</v>
      </c>
      <c r="B15" s="12">
        <v>2563890216</v>
      </c>
      <c r="C15" s="12">
        <v>250371604020</v>
      </c>
      <c r="D15" s="13" t="s">
        <v>158</v>
      </c>
      <c r="E15" s="20" t="s">
        <v>26</v>
      </c>
      <c r="F15" s="15" t="s">
        <v>15</v>
      </c>
      <c r="G15" s="15" t="s">
        <v>34</v>
      </c>
      <c r="H15" s="3" t="s">
        <v>4</v>
      </c>
      <c r="I15" s="16" t="s">
        <v>4</v>
      </c>
      <c r="J15" s="16" t="s">
        <v>5</v>
      </c>
      <c r="K15" s="16" t="s">
        <v>11</v>
      </c>
      <c r="L15" s="16" t="s">
        <v>6</v>
      </c>
      <c r="M15" s="11" t="s">
        <v>17</v>
      </c>
      <c r="N15" s="4">
        <v>5.666666666666667</v>
      </c>
    </row>
    <row r="16" spans="1:14" s="5" customFormat="1" ht="48" customHeight="1">
      <c r="A16" s="2">
        <v>12</v>
      </c>
      <c r="B16" s="12">
        <v>2563890165</v>
      </c>
      <c r="C16" s="12">
        <v>250371604023</v>
      </c>
      <c r="D16" s="13" t="s">
        <v>159</v>
      </c>
      <c r="E16" s="20" t="s">
        <v>26</v>
      </c>
      <c r="F16" s="15" t="s">
        <v>15</v>
      </c>
      <c r="G16" s="15" t="s">
        <v>34</v>
      </c>
      <c r="H16" s="3" t="s">
        <v>6</v>
      </c>
      <c r="I16" s="16" t="s">
        <v>2</v>
      </c>
      <c r="J16" s="16" t="s">
        <v>4</v>
      </c>
      <c r="K16" s="16" t="s">
        <v>6</v>
      </c>
      <c r="L16" s="16" t="s">
        <v>4</v>
      </c>
      <c r="M16" s="11" t="s">
        <v>17</v>
      </c>
      <c r="N16" s="4">
        <v>6.5555555555555554</v>
      </c>
    </row>
    <row r="17" spans="1:14" s="5" customFormat="1" ht="48" hidden="1" customHeight="1">
      <c r="A17" s="2">
        <v>13</v>
      </c>
      <c r="B17" s="12">
        <v>2563890194</v>
      </c>
      <c r="C17" s="12">
        <v>250371604024</v>
      </c>
      <c r="D17" s="13" t="s">
        <v>160</v>
      </c>
      <c r="E17" s="20" t="s">
        <v>26</v>
      </c>
      <c r="F17" s="15" t="s">
        <v>15</v>
      </c>
      <c r="G17" s="15" t="s">
        <v>34</v>
      </c>
      <c r="H17" s="3" t="s">
        <v>1517</v>
      </c>
      <c r="I17" s="16" t="s">
        <v>2</v>
      </c>
      <c r="J17" s="16" t="s">
        <v>5</v>
      </c>
      <c r="K17" s="16" t="s">
        <v>5</v>
      </c>
      <c r="L17" s="16" t="s">
        <v>5</v>
      </c>
      <c r="M17" s="11" t="s">
        <v>1517</v>
      </c>
      <c r="N17" s="4">
        <v>0</v>
      </c>
    </row>
    <row r="18" spans="1:14" s="5" customFormat="1" ht="48" hidden="1" customHeight="1">
      <c r="A18" s="2">
        <v>14</v>
      </c>
      <c r="B18" s="12">
        <v>2563890070</v>
      </c>
      <c r="C18" s="12">
        <v>250371604025</v>
      </c>
      <c r="D18" s="13" t="s">
        <v>161</v>
      </c>
      <c r="E18" s="20" t="s">
        <v>26</v>
      </c>
      <c r="F18" s="15" t="s">
        <v>15</v>
      </c>
      <c r="G18" s="15" t="s">
        <v>34</v>
      </c>
      <c r="H18" s="3" t="s">
        <v>7</v>
      </c>
      <c r="I18" s="16" t="s">
        <v>7</v>
      </c>
      <c r="J18" s="16" t="s">
        <v>11</v>
      </c>
      <c r="K18" s="16" t="s">
        <v>7</v>
      </c>
      <c r="L18" s="16" t="s">
        <v>7</v>
      </c>
      <c r="M18" s="11" t="s">
        <v>7</v>
      </c>
      <c r="N18" s="4">
        <v>0</v>
      </c>
    </row>
    <row r="19" spans="1:14" s="5" customFormat="1" ht="48" hidden="1" customHeight="1">
      <c r="A19" s="2">
        <v>15</v>
      </c>
      <c r="B19" s="12">
        <v>2563890187</v>
      </c>
      <c r="C19" s="12">
        <v>250371604029</v>
      </c>
      <c r="D19" s="13" t="s">
        <v>162</v>
      </c>
      <c r="E19" s="20" t="s">
        <v>26</v>
      </c>
      <c r="F19" s="15" t="s">
        <v>15</v>
      </c>
      <c r="G19" s="15" t="s">
        <v>34</v>
      </c>
      <c r="H19" s="3" t="s">
        <v>1516</v>
      </c>
      <c r="I19" s="16" t="s">
        <v>1516</v>
      </c>
      <c r="J19" s="16" t="s">
        <v>1516</v>
      </c>
      <c r="K19" s="16" t="s">
        <v>1516</v>
      </c>
      <c r="L19" s="16" t="s">
        <v>1516</v>
      </c>
      <c r="M19" s="11" t="s">
        <v>1516</v>
      </c>
      <c r="N19" s="4">
        <v>0</v>
      </c>
    </row>
    <row r="20" spans="1:14" s="5" customFormat="1" ht="48" hidden="1" customHeight="1">
      <c r="A20" s="2">
        <v>16</v>
      </c>
      <c r="B20" s="12">
        <v>2563890067</v>
      </c>
      <c r="C20" s="12">
        <v>250371604030</v>
      </c>
      <c r="D20" s="13" t="s">
        <v>163</v>
      </c>
      <c r="E20" s="20" t="s">
        <v>26</v>
      </c>
      <c r="F20" s="15" t="s">
        <v>15</v>
      </c>
      <c r="G20" s="15" t="s">
        <v>34</v>
      </c>
      <c r="H20" s="3" t="s">
        <v>1517</v>
      </c>
      <c r="I20" s="16" t="s">
        <v>4</v>
      </c>
      <c r="J20" s="16" t="s">
        <v>4</v>
      </c>
      <c r="K20" s="16" t="s">
        <v>11</v>
      </c>
      <c r="L20" s="16" t="s">
        <v>6</v>
      </c>
      <c r="M20" s="11" t="s">
        <v>1517</v>
      </c>
      <c r="N20" s="4">
        <v>0</v>
      </c>
    </row>
    <row r="21" spans="1:14" s="5" customFormat="1" ht="48" hidden="1" customHeight="1">
      <c r="A21" s="2">
        <v>17</v>
      </c>
      <c r="B21" s="12">
        <v>2563890166</v>
      </c>
      <c r="C21" s="12">
        <v>250371604031</v>
      </c>
      <c r="D21" s="13" t="s">
        <v>164</v>
      </c>
      <c r="E21" s="20" t="s">
        <v>26</v>
      </c>
      <c r="F21" s="15" t="s">
        <v>15</v>
      </c>
      <c r="G21" s="15" t="s">
        <v>34</v>
      </c>
      <c r="H21" s="3" t="s">
        <v>1517</v>
      </c>
      <c r="I21" s="16" t="s">
        <v>4</v>
      </c>
      <c r="J21" s="16" t="s">
        <v>11</v>
      </c>
      <c r="K21" s="16" t="s">
        <v>5</v>
      </c>
      <c r="L21" s="16" t="s">
        <v>11</v>
      </c>
      <c r="M21" s="11" t="s">
        <v>1517</v>
      </c>
      <c r="N21" s="4">
        <v>0</v>
      </c>
    </row>
    <row r="22" spans="1:14" s="5" customFormat="1" ht="48" hidden="1" customHeight="1">
      <c r="A22" s="2">
        <v>18</v>
      </c>
      <c r="B22" s="12">
        <v>2563890239</v>
      </c>
      <c r="C22" s="12">
        <v>250371604032</v>
      </c>
      <c r="D22" s="13" t="s">
        <v>165</v>
      </c>
      <c r="E22" s="20" t="s">
        <v>26</v>
      </c>
      <c r="F22" s="15" t="s">
        <v>15</v>
      </c>
      <c r="G22" s="15" t="s">
        <v>34</v>
      </c>
      <c r="H22" s="3" t="s">
        <v>7</v>
      </c>
      <c r="I22" s="16" t="s">
        <v>11</v>
      </c>
      <c r="J22" s="16" t="s">
        <v>11</v>
      </c>
      <c r="K22" s="16" t="s">
        <v>6</v>
      </c>
      <c r="L22" s="16" t="s">
        <v>7</v>
      </c>
      <c r="M22" s="11" t="s">
        <v>7</v>
      </c>
      <c r="N22" s="4">
        <v>0</v>
      </c>
    </row>
    <row r="23" spans="1:14" s="5" customFormat="1" ht="48" customHeight="1">
      <c r="A23" s="2">
        <v>19</v>
      </c>
      <c r="B23" s="12">
        <v>2563890244</v>
      </c>
      <c r="C23" s="12">
        <v>250371604038</v>
      </c>
      <c r="D23" s="13" t="s">
        <v>166</v>
      </c>
      <c r="E23" s="20" t="s">
        <v>26</v>
      </c>
      <c r="F23" s="15" t="s">
        <v>15</v>
      </c>
      <c r="G23" s="15" t="s">
        <v>34</v>
      </c>
      <c r="H23" s="3" t="s">
        <v>5</v>
      </c>
      <c r="I23" s="16" t="s">
        <v>5</v>
      </c>
      <c r="J23" s="16" t="s">
        <v>5</v>
      </c>
      <c r="K23" s="16" t="s">
        <v>11</v>
      </c>
      <c r="L23" s="16" t="s">
        <v>5</v>
      </c>
      <c r="M23" s="11" t="s">
        <v>17</v>
      </c>
      <c r="N23" s="4">
        <v>5.5555555555555554</v>
      </c>
    </row>
    <row r="24" spans="1:14" s="5" customFormat="1" ht="48" hidden="1" customHeight="1">
      <c r="A24" s="2">
        <v>20</v>
      </c>
      <c r="B24" s="12">
        <v>2563890228</v>
      </c>
      <c r="C24" s="12">
        <v>250371604041</v>
      </c>
      <c r="D24" s="13" t="s">
        <v>167</v>
      </c>
      <c r="E24" s="20" t="s">
        <v>26</v>
      </c>
      <c r="F24" s="15" t="s">
        <v>15</v>
      </c>
      <c r="G24" s="15" t="s">
        <v>34</v>
      </c>
      <c r="H24" s="3" t="s">
        <v>7</v>
      </c>
      <c r="I24" s="16" t="s">
        <v>1516</v>
      </c>
      <c r="J24" s="16" t="s">
        <v>7</v>
      </c>
      <c r="K24" s="16" t="s">
        <v>7</v>
      </c>
      <c r="L24" s="16" t="s">
        <v>11</v>
      </c>
      <c r="M24" s="11" t="s">
        <v>1516</v>
      </c>
      <c r="N24" s="4">
        <v>0</v>
      </c>
    </row>
    <row r="25" spans="1:14" s="5" customFormat="1" ht="48" hidden="1" customHeight="1">
      <c r="A25" s="2">
        <v>21</v>
      </c>
      <c r="B25" s="12">
        <v>2563890249</v>
      </c>
      <c r="C25" s="12">
        <v>250371604044</v>
      </c>
      <c r="D25" s="13" t="s">
        <v>168</v>
      </c>
      <c r="E25" s="20" t="s">
        <v>26</v>
      </c>
      <c r="F25" s="15" t="s">
        <v>15</v>
      </c>
      <c r="G25" s="15" t="s">
        <v>34</v>
      </c>
      <c r="H25" s="3" t="s">
        <v>1516</v>
      </c>
      <c r="I25" s="16" t="s">
        <v>1516</v>
      </c>
      <c r="J25" s="16" t="s">
        <v>1516</v>
      </c>
      <c r="K25" s="16" t="s">
        <v>1516</v>
      </c>
      <c r="L25" s="16" t="s">
        <v>1516</v>
      </c>
      <c r="M25" s="11" t="s">
        <v>1516</v>
      </c>
      <c r="N25" s="4">
        <v>0</v>
      </c>
    </row>
    <row r="26" spans="1:14" s="5" customFormat="1" ht="48" customHeight="1">
      <c r="A26" s="2">
        <v>22</v>
      </c>
      <c r="B26" s="12">
        <v>2563890104</v>
      </c>
      <c r="C26" s="12">
        <v>250371604046</v>
      </c>
      <c r="D26" s="13" t="s">
        <v>169</v>
      </c>
      <c r="E26" s="20" t="s">
        <v>26</v>
      </c>
      <c r="F26" s="15" t="s">
        <v>15</v>
      </c>
      <c r="G26" s="15" t="s">
        <v>34</v>
      </c>
      <c r="H26" s="3" t="s">
        <v>6</v>
      </c>
      <c r="I26" s="16" t="s">
        <v>11</v>
      </c>
      <c r="J26" s="16" t="s">
        <v>6</v>
      </c>
      <c r="K26" s="16" t="s">
        <v>6</v>
      </c>
      <c r="L26" s="16" t="s">
        <v>5</v>
      </c>
      <c r="M26" s="11" t="s">
        <v>17</v>
      </c>
      <c r="N26" s="4">
        <v>5.0555555555555554</v>
      </c>
    </row>
    <row r="27" spans="1:14" s="5" customFormat="1" ht="48" customHeight="1">
      <c r="A27" s="2">
        <v>23</v>
      </c>
      <c r="B27" s="12">
        <v>2563890037</v>
      </c>
      <c r="C27" s="12">
        <v>250371604047</v>
      </c>
      <c r="D27" s="13" t="s">
        <v>170</v>
      </c>
      <c r="E27" s="20" t="s">
        <v>26</v>
      </c>
      <c r="F27" s="15" t="s">
        <v>15</v>
      </c>
      <c r="G27" s="15" t="s">
        <v>34</v>
      </c>
      <c r="H27" s="3" t="s">
        <v>3</v>
      </c>
      <c r="I27" s="16" t="s">
        <v>5</v>
      </c>
      <c r="J27" s="16" t="s">
        <v>4</v>
      </c>
      <c r="K27" s="16" t="s">
        <v>5</v>
      </c>
      <c r="L27" s="16" t="s">
        <v>4</v>
      </c>
      <c r="M27" s="11" t="s">
        <v>17</v>
      </c>
      <c r="N27" s="4">
        <v>6.7777777777777777</v>
      </c>
    </row>
    <row r="28" spans="1:14" s="5" customFormat="1" ht="48" customHeight="1">
      <c r="A28" s="2">
        <v>24</v>
      </c>
      <c r="B28" s="12">
        <v>2563890128</v>
      </c>
      <c r="C28" s="12">
        <v>250371604049</v>
      </c>
      <c r="D28" s="13" t="s">
        <v>171</v>
      </c>
      <c r="E28" s="20" t="s">
        <v>26</v>
      </c>
      <c r="F28" s="15" t="s">
        <v>15</v>
      </c>
      <c r="G28" s="15" t="s">
        <v>34</v>
      </c>
      <c r="H28" s="3" t="s">
        <v>3</v>
      </c>
      <c r="I28" s="16" t="s">
        <v>3</v>
      </c>
      <c r="J28" s="16" t="s">
        <v>3</v>
      </c>
      <c r="K28" s="16" t="s">
        <v>11</v>
      </c>
      <c r="L28" s="16" t="s">
        <v>4</v>
      </c>
      <c r="M28" s="11" t="s">
        <v>17</v>
      </c>
      <c r="N28" s="4">
        <v>6.8888888888888893</v>
      </c>
    </row>
    <row r="29" spans="1:14" s="5" customFormat="1" ht="48" customHeight="1">
      <c r="A29" s="2">
        <v>25</v>
      </c>
      <c r="B29" s="12">
        <v>2563890098</v>
      </c>
      <c r="C29" s="12">
        <v>250371604051</v>
      </c>
      <c r="D29" s="13" t="s">
        <v>172</v>
      </c>
      <c r="E29" s="20" t="s">
        <v>26</v>
      </c>
      <c r="F29" s="15" t="s">
        <v>15</v>
      </c>
      <c r="G29" s="15" t="s">
        <v>34</v>
      </c>
      <c r="H29" s="3" t="s">
        <v>11</v>
      </c>
      <c r="I29" s="16" t="s">
        <v>5</v>
      </c>
      <c r="J29" s="16" t="s">
        <v>4</v>
      </c>
      <c r="K29" s="16" t="s">
        <v>5</v>
      </c>
      <c r="L29" s="16" t="s">
        <v>5</v>
      </c>
      <c r="M29" s="11" t="s">
        <v>17</v>
      </c>
      <c r="N29" s="4">
        <v>5.8888888888888893</v>
      </c>
    </row>
    <row r="30" spans="1:14" s="5" customFormat="1" ht="48" hidden="1" customHeight="1">
      <c r="A30" s="2">
        <v>26</v>
      </c>
      <c r="B30" s="12">
        <v>2563890076</v>
      </c>
      <c r="C30" s="12">
        <v>250371604056</v>
      </c>
      <c r="D30" s="13" t="s">
        <v>173</v>
      </c>
      <c r="E30" s="20" t="s">
        <v>26</v>
      </c>
      <c r="F30" s="15" t="s">
        <v>15</v>
      </c>
      <c r="G30" s="15" t="s">
        <v>34</v>
      </c>
      <c r="H30" s="3" t="s">
        <v>11</v>
      </c>
      <c r="I30" s="16" t="s">
        <v>6</v>
      </c>
      <c r="J30" s="16" t="s">
        <v>7</v>
      </c>
      <c r="K30" s="16" t="s">
        <v>7</v>
      </c>
      <c r="L30" s="16" t="s">
        <v>7</v>
      </c>
      <c r="M30" s="11" t="s">
        <v>7</v>
      </c>
      <c r="N30" s="4">
        <v>0</v>
      </c>
    </row>
    <row r="31" spans="1:14" s="5" customFormat="1" ht="48" customHeight="1">
      <c r="A31" s="2">
        <v>27</v>
      </c>
      <c r="B31" s="12">
        <v>2563890133</v>
      </c>
      <c r="C31" s="12">
        <v>250371604058</v>
      </c>
      <c r="D31" s="13" t="s">
        <v>174</v>
      </c>
      <c r="E31" s="20" t="s">
        <v>26</v>
      </c>
      <c r="F31" s="15" t="s">
        <v>15</v>
      </c>
      <c r="G31" s="15" t="s">
        <v>34</v>
      </c>
      <c r="H31" s="3" t="s">
        <v>6</v>
      </c>
      <c r="I31" s="16" t="s">
        <v>4</v>
      </c>
      <c r="J31" s="16" t="s">
        <v>5</v>
      </c>
      <c r="K31" s="16" t="s">
        <v>6</v>
      </c>
      <c r="L31" s="16" t="s">
        <v>11</v>
      </c>
      <c r="M31" s="11" t="s">
        <v>17</v>
      </c>
      <c r="N31" s="4">
        <v>5.333333333333333</v>
      </c>
    </row>
    <row r="32" spans="1:14" s="5" customFormat="1" ht="48" hidden="1" customHeight="1">
      <c r="A32" s="2">
        <v>28</v>
      </c>
      <c r="B32" s="12">
        <v>2563890240</v>
      </c>
      <c r="C32" s="12">
        <v>250371604060</v>
      </c>
      <c r="D32" s="13" t="s">
        <v>175</v>
      </c>
      <c r="E32" s="20" t="s">
        <v>26</v>
      </c>
      <c r="F32" s="15" t="s">
        <v>15</v>
      </c>
      <c r="G32" s="15" t="s">
        <v>34</v>
      </c>
      <c r="H32" s="3" t="s">
        <v>5</v>
      </c>
      <c r="I32" s="16" t="s">
        <v>6</v>
      </c>
      <c r="J32" s="16" t="s">
        <v>6</v>
      </c>
      <c r="K32" s="16" t="s">
        <v>5</v>
      </c>
      <c r="L32" s="16" t="s">
        <v>1517</v>
      </c>
      <c r="M32" s="11" t="s">
        <v>1517</v>
      </c>
      <c r="N32" s="4">
        <v>0</v>
      </c>
    </row>
  </sheetData>
  <autoFilter ref="A3:N32">
    <filterColumn colId="6"/>
    <filterColumn colId="12">
      <filters>
        <filter val="PASS"/>
      </filters>
    </filterColumn>
  </autoFilter>
  <mergeCells count="10">
    <mergeCell ref="A1:N1"/>
    <mergeCell ref="A2:N2"/>
    <mergeCell ref="A3:A4"/>
    <mergeCell ref="B3:B4"/>
    <mergeCell ref="C3:C4"/>
    <mergeCell ref="D3:D4"/>
    <mergeCell ref="E3:E4"/>
    <mergeCell ref="F3:F4"/>
    <mergeCell ref="G3:G4"/>
    <mergeCell ref="N3:N4"/>
  </mergeCells>
  <printOptions horizontalCentered="1"/>
  <pageMargins left="0.53" right="0.48" top="0.31" bottom="0.44" header="0.22" footer="0.3"/>
  <pageSetup paperSize="8" scale="90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>
  <sheetPr filterMode="1"/>
  <dimension ref="A1:N37"/>
  <sheetViews>
    <sheetView workbookViewId="0">
      <selection activeCell="L39" sqref="L39"/>
    </sheetView>
  </sheetViews>
  <sheetFormatPr defaultRowHeight="15"/>
  <cols>
    <col min="1" max="1" width="6.5703125" style="6" bestFit="1" customWidth="1"/>
    <col min="2" max="2" width="16.28515625" style="6" customWidth="1"/>
    <col min="3" max="3" width="18.28515625" style="6" bestFit="1" customWidth="1"/>
    <col min="4" max="4" width="32.5703125" style="6" customWidth="1"/>
    <col min="5" max="5" width="10" style="32" customWidth="1"/>
    <col min="6" max="6" width="10.85546875" style="32" customWidth="1"/>
    <col min="7" max="7" width="13.5703125" style="6" customWidth="1"/>
    <col min="8" max="9" width="12" style="6" customWidth="1"/>
    <col min="10" max="10" width="18.85546875" style="6" customWidth="1"/>
    <col min="11" max="12" width="17.85546875" style="6" customWidth="1"/>
    <col min="13" max="13" width="15.28515625" style="6" customWidth="1"/>
    <col min="14" max="14" width="10.28515625" style="7" customWidth="1"/>
    <col min="15" max="16384" width="9.140625" style="6"/>
  </cols>
  <sheetData>
    <row r="1" spans="1:14" s="31" customFormat="1" ht="30" customHeight="1">
      <c r="A1" s="58" t="s">
        <v>1519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</row>
    <row r="2" spans="1:14" s="5" customFormat="1" ht="30" customHeight="1">
      <c r="A2" s="59" t="s">
        <v>1518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</row>
    <row r="3" spans="1:14" s="8" customFormat="1" ht="74.25" customHeight="1">
      <c r="A3" s="53" t="s">
        <v>1</v>
      </c>
      <c r="B3" s="53" t="s">
        <v>16</v>
      </c>
      <c r="C3" s="53" t="s">
        <v>12</v>
      </c>
      <c r="D3" s="53" t="s">
        <v>13</v>
      </c>
      <c r="E3" s="53" t="s">
        <v>14</v>
      </c>
      <c r="F3" s="53" t="s">
        <v>0</v>
      </c>
      <c r="G3" s="53" t="s">
        <v>31</v>
      </c>
      <c r="H3" s="1" t="s">
        <v>78</v>
      </c>
      <c r="I3" s="1" t="s">
        <v>83</v>
      </c>
      <c r="J3" s="1" t="s">
        <v>80</v>
      </c>
      <c r="K3" s="1" t="s">
        <v>81</v>
      </c>
      <c r="L3" s="1" t="s">
        <v>82</v>
      </c>
      <c r="M3" s="1" t="s">
        <v>10</v>
      </c>
      <c r="N3" s="55" t="s">
        <v>9</v>
      </c>
    </row>
    <row r="4" spans="1:14" s="8" customFormat="1" ht="29.25" hidden="1" customHeight="1">
      <c r="A4" s="54"/>
      <c r="B4" s="54"/>
      <c r="C4" s="54"/>
      <c r="D4" s="54"/>
      <c r="E4" s="54"/>
      <c r="F4" s="54"/>
      <c r="G4" s="54"/>
      <c r="H4" s="10">
        <v>3</v>
      </c>
      <c r="I4" s="10">
        <v>3</v>
      </c>
      <c r="J4" s="10">
        <v>4</v>
      </c>
      <c r="K4" s="10">
        <v>4</v>
      </c>
      <c r="L4" s="10">
        <v>4</v>
      </c>
      <c r="M4" s="10">
        <f>SUM(H4:L4)</f>
        <v>18</v>
      </c>
      <c r="N4" s="56"/>
    </row>
    <row r="5" spans="1:14" s="5" customFormat="1" ht="48" hidden="1" customHeight="1">
      <c r="A5" s="2">
        <v>1</v>
      </c>
      <c r="B5" s="12">
        <v>2563890242</v>
      </c>
      <c r="C5" s="12">
        <v>250371604002</v>
      </c>
      <c r="D5" s="13" t="s">
        <v>176</v>
      </c>
      <c r="E5" s="14" t="s">
        <v>26</v>
      </c>
      <c r="F5" s="15" t="s">
        <v>15</v>
      </c>
      <c r="G5" s="15" t="s">
        <v>85</v>
      </c>
      <c r="H5" s="3" t="s">
        <v>1516</v>
      </c>
      <c r="I5" s="16" t="s">
        <v>1516</v>
      </c>
      <c r="J5" s="16" t="s">
        <v>1516</v>
      </c>
      <c r="K5" s="16" t="s">
        <v>1516</v>
      </c>
      <c r="L5" s="16" t="s">
        <v>1516</v>
      </c>
      <c r="M5" s="11" t="s">
        <v>1516</v>
      </c>
      <c r="N5" s="4">
        <v>0</v>
      </c>
    </row>
    <row r="6" spans="1:14" s="5" customFormat="1" ht="48" hidden="1" customHeight="1">
      <c r="A6" s="2">
        <v>2</v>
      </c>
      <c r="B6" s="12">
        <v>2563890055</v>
      </c>
      <c r="C6" s="12">
        <v>250371604006</v>
      </c>
      <c r="D6" s="13" t="s">
        <v>177</v>
      </c>
      <c r="E6" s="14" t="s">
        <v>26</v>
      </c>
      <c r="F6" s="15" t="s">
        <v>15</v>
      </c>
      <c r="G6" s="15" t="s">
        <v>85</v>
      </c>
      <c r="H6" s="3" t="s">
        <v>7</v>
      </c>
      <c r="I6" s="16" t="s">
        <v>4</v>
      </c>
      <c r="J6" s="16" t="s">
        <v>5</v>
      </c>
      <c r="K6" s="16" t="s">
        <v>6</v>
      </c>
      <c r="L6" s="16" t="s">
        <v>11</v>
      </c>
      <c r="M6" s="11" t="s">
        <v>7</v>
      </c>
      <c r="N6" s="4">
        <v>0</v>
      </c>
    </row>
    <row r="7" spans="1:14" s="5" customFormat="1" ht="48" hidden="1" customHeight="1">
      <c r="A7" s="2">
        <v>3</v>
      </c>
      <c r="B7" s="12">
        <v>2563890111</v>
      </c>
      <c r="C7" s="12">
        <v>250371604010</v>
      </c>
      <c r="D7" s="13" t="s">
        <v>178</v>
      </c>
      <c r="E7" s="14" t="s">
        <v>26</v>
      </c>
      <c r="F7" s="15" t="s">
        <v>15</v>
      </c>
      <c r="G7" s="15" t="s">
        <v>85</v>
      </c>
      <c r="H7" s="3" t="s">
        <v>11</v>
      </c>
      <c r="I7" s="16" t="s">
        <v>7</v>
      </c>
      <c r="J7" s="16" t="s">
        <v>11</v>
      </c>
      <c r="K7" s="16" t="s">
        <v>6</v>
      </c>
      <c r="L7" s="16" t="s">
        <v>11</v>
      </c>
      <c r="M7" s="11" t="s">
        <v>7</v>
      </c>
      <c r="N7" s="4">
        <v>0</v>
      </c>
    </row>
    <row r="8" spans="1:14" s="5" customFormat="1" ht="48" hidden="1" customHeight="1">
      <c r="A8" s="2">
        <v>4</v>
      </c>
      <c r="B8" s="12">
        <v>2563890100</v>
      </c>
      <c r="C8" s="12">
        <v>250371604012</v>
      </c>
      <c r="D8" s="13" t="s">
        <v>179</v>
      </c>
      <c r="E8" s="14" t="s">
        <v>26</v>
      </c>
      <c r="F8" s="15" t="s">
        <v>15</v>
      </c>
      <c r="G8" s="15" t="s">
        <v>85</v>
      </c>
      <c r="H8" s="3" t="s">
        <v>7</v>
      </c>
      <c r="I8" s="16" t="s">
        <v>11</v>
      </c>
      <c r="J8" s="16" t="s">
        <v>6</v>
      </c>
      <c r="K8" s="16" t="s">
        <v>11</v>
      </c>
      <c r="L8" s="16" t="s">
        <v>6</v>
      </c>
      <c r="M8" s="11" t="s">
        <v>7</v>
      </c>
      <c r="N8" s="4">
        <v>0</v>
      </c>
    </row>
    <row r="9" spans="1:14" s="5" customFormat="1" ht="48" customHeight="1">
      <c r="A9" s="2">
        <v>5</v>
      </c>
      <c r="B9" s="12">
        <v>2563890074</v>
      </c>
      <c r="C9" s="12">
        <v>250371604013</v>
      </c>
      <c r="D9" s="13" t="s">
        <v>180</v>
      </c>
      <c r="E9" s="14" t="s">
        <v>26</v>
      </c>
      <c r="F9" s="15" t="s">
        <v>15</v>
      </c>
      <c r="G9" s="15" t="s">
        <v>85</v>
      </c>
      <c r="H9" s="3" t="s">
        <v>6</v>
      </c>
      <c r="I9" s="16" t="s">
        <v>4</v>
      </c>
      <c r="J9" s="16" t="s">
        <v>5</v>
      </c>
      <c r="K9" s="16" t="s">
        <v>6</v>
      </c>
      <c r="L9" s="16" t="s">
        <v>4</v>
      </c>
      <c r="M9" s="11" t="s">
        <v>17</v>
      </c>
      <c r="N9" s="4">
        <v>6</v>
      </c>
    </row>
    <row r="10" spans="1:14" s="5" customFormat="1" ht="48" customHeight="1">
      <c r="A10" s="2">
        <v>6</v>
      </c>
      <c r="B10" s="12">
        <v>2563890253</v>
      </c>
      <c r="C10" s="12">
        <v>250371604014</v>
      </c>
      <c r="D10" s="13" t="s">
        <v>181</v>
      </c>
      <c r="E10" s="14" t="s">
        <v>26</v>
      </c>
      <c r="F10" s="15" t="s">
        <v>15</v>
      </c>
      <c r="G10" s="15" t="s">
        <v>85</v>
      </c>
      <c r="H10" s="3" t="s">
        <v>11</v>
      </c>
      <c r="I10" s="16" t="s">
        <v>11</v>
      </c>
      <c r="J10" s="16" t="s">
        <v>5</v>
      </c>
      <c r="K10" s="16" t="s">
        <v>5</v>
      </c>
      <c r="L10" s="16" t="s">
        <v>4</v>
      </c>
      <c r="M10" s="11" t="s">
        <v>17</v>
      </c>
      <c r="N10" s="4">
        <v>5.56</v>
      </c>
    </row>
    <row r="11" spans="1:14" s="5" customFormat="1" ht="48" hidden="1" customHeight="1">
      <c r="A11" s="2">
        <v>7</v>
      </c>
      <c r="B11" s="12">
        <v>2563890131</v>
      </c>
      <c r="C11" s="12">
        <v>250371604017</v>
      </c>
      <c r="D11" s="13" t="s">
        <v>182</v>
      </c>
      <c r="E11" s="14" t="s">
        <v>26</v>
      </c>
      <c r="F11" s="15" t="s">
        <v>15</v>
      </c>
      <c r="G11" s="15" t="s">
        <v>85</v>
      </c>
      <c r="H11" s="3" t="s">
        <v>11</v>
      </c>
      <c r="I11" s="16" t="s">
        <v>7</v>
      </c>
      <c r="J11" s="16" t="s">
        <v>11</v>
      </c>
      <c r="K11" s="16" t="s">
        <v>11</v>
      </c>
      <c r="L11" s="16" t="s">
        <v>11</v>
      </c>
      <c r="M11" s="11" t="s">
        <v>7</v>
      </c>
      <c r="N11" s="4">
        <v>0</v>
      </c>
    </row>
    <row r="12" spans="1:14" s="5" customFormat="1" ht="48" hidden="1" customHeight="1">
      <c r="A12" s="2">
        <v>8</v>
      </c>
      <c r="B12" s="12">
        <v>2563890137</v>
      </c>
      <c r="C12" s="12">
        <v>250371604018</v>
      </c>
      <c r="D12" s="13" t="s">
        <v>183</v>
      </c>
      <c r="E12" s="14" t="s">
        <v>26</v>
      </c>
      <c r="F12" s="15" t="s">
        <v>15</v>
      </c>
      <c r="G12" s="15" t="s">
        <v>85</v>
      </c>
      <c r="H12" s="3" t="s">
        <v>1517</v>
      </c>
      <c r="I12" s="16" t="s">
        <v>11</v>
      </c>
      <c r="J12" s="16" t="s">
        <v>11</v>
      </c>
      <c r="K12" s="16" t="s">
        <v>11</v>
      </c>
      <c r="L12" s="16" t="s">
        <v>11</v>
      </c>
      <c r="M12" s="11" t="s">
        <v>1517</v>
      </c>
      <c r="N12" s="4">
        <v>0</v>
      </c>
    </row>
    <row r="13" spans="1:14" s="5" customFormat="1" ht="48" customHeight="1">
      <c r="A13" s="2">
        <v>9</v>
      </c>
      <c r="B13" s="12">
        <v>2563890084</v>
      </c>
      <c r="C13" s="12">
        <v>250371604019</v>
      </c>
      <c r="D13" s="13" t="s">
        <v>184</v>
      </c>
      <c r="E13" s="14" t="s">
        <v>26</v>
      </c>
      <c r="F13" s="15" t="s">
        <v>15</v>
      </c>
      <c r="G13" s="15" t="s">
        <v>85</v>
      </c>
      <c r="H13" s="3" t="s">
        <v>6</v>
      </c>
      <c r="I13" s="16" t="s">
        <v>4</v>
      </c>
      <c r="J13" s="16" t="s">
        <v>6</v>
      </c>
      <c r="K13" s="16" t="s">
        <v>5</v>
      </c>
      <c r="L13" s="16" t="s">
        <v>11</v>
      </c>
      <c r="M13" s="11" t="s">
        <v>17</v>
      </c>
      <c r="N13" s="4">
        <v>5.333333333333333</v>
      </c>
    </row>
    <row r="14" spans="1:14" s="5" customFormat="1" ht="48" hidden="1" customHeight="1">
      <c r="A14" s="2">
        <v>10</v>
      </c>
      <c r="B14" s="12">
        <v>2563890215</v>
      </c>
      <c r="C14" s="12">
        <v>250371604021</v>
      </c>
      <c r="D14" s="13" t="s">
        <v>185</v>
      </c>
      <c r="E14" s="14" t="s">
        <v>26</v>
      </c>
      <c r="F14" s="15" t="s">
        <v>15</v>
      </c>
      <c r="G14" s="15" t="s">
        <v>85</v>
      </c>
      <c r="H14" s="3" t="s">
        <v>1517</v>
      </c>
      <c r="I14" s="16" t="s">
        <v>11</v>
      </c>
      <c r="J14" s="16" t="s">
        <v>5</v>
      </c>
      <c r="K14" s="16" t="s">
        <v>11</v>
      </c>
      <c r="L14" s="16" t="s">
        <v>1517</v>
      </c>
      <c r="M14" s="11" t="s">
        <v>1517</v>
      </c>
      <c r="N14" s="4">
        <v>0</v>
      </c>
    </row>
    <row r="15" spans="1:14" s="5" customFormat="1" ht="48" hidden="1" customHeight="1">
      <c r="A15" s="2">
        <v>11</v>
      </c>
      <c r="B15" s="12">
        <v>256389029</v>
      </c>
      <c r="C15" s="12">
        <v>250371604022</v>
      </c>
      <c r="D15" s="13" t="s">
        <v>186</v>
      </c>
      <c r="E15" s="14" t="s">
        <v>26</v>
      </c>
      <c r="F15" s="15" t="s">
        <v>15</v>
      </c>
      <c r="G15" s="15" t="s">
        <v>85</v>
      </c>
      <c r="H15" s="3" t="s">
        <v>1517</v>
      </c>
      <c r="I15" s="16" t="s">
        <v>11</v>
      </c>
      <c r="J15" s="16" t="s">
        <v>11</v>
      </c>
      <c r="K15" s="16" t="s">
        <v>11</v>
      </c>
      <c r="L15" s="16" t="s">
        <v>11</v>
      </c>
      <c r="M15" s="11" t="s">
        <v>1517</v>
      </c>
      <c r="N15" s="4">
        <v>0</v>
      </c>
    </row>
    <row r="16" spans="1:14" s="5" customFormat="1" ht="48" customHeight="1">
      <c r="A16" s="2">
        <v>12</v>
      </c>
      <c r="B16" s="12">
        <v>2563890071</v>
      </c>
      <c r="C16" s="12">
        <v>250371604026</v>
      </c>
      <c r="D16" s="13" t="s">
        <v>187</v>
      </c>
      <c r="E16" s="14" t="s">
        <v>26</v>
      </c>
      <c r="F16" s="15" t="s">
        <v>15</v>
      </c>
      <c r="G16" s="15" t="s">
        <v>85</v>
      </c>
      <c r="H16" s="3" t="s">
        <v>5</v>
      </c>
      <c r="I16" s="16" t="s">
        <v>3</v>
      </c>
      <c r="J16" s="16" t="s">
        <v>5</v>
      </c>
      <c r="K16" s="16" t="s">
        <v>5</v>
      </c>
      <c r="L16" s="16" t="s">
        <v>6</v>
      </c>
      <c r="M16" s="11" t="s">
        <v>17</v>
      </c>
      <c r="N16" s="4">
        <v>6.1111111111111107</v>
      </c>
    </row>
    <row r="17" spans="1:14" s="5" customFormat="1" ht="48" hidden="1" customHeight="1">
      <c r="A17" s="2">
        <v>13</v>
      </c>
      <c r="B17" s="12">
        <v>2563890222</v>
      </c>
      <c r="C17" s="12">
        <v>250371604027</v>
      </c>
      <c r="D17" s="13" t="s">
        <v>188</v>
      </c>
      <c r="E17" s="14" t="s">
        <v>26</v>
      </c>
      <c r="F17" s="15" t="s">
        <v>15</v>
      </c>
      <c r="G17" s="15" t="s">
        <v>85</v>
      </c>
      <c r="H17" s="3" t="s">
        <v>7</v>
      </c>
      <c r="I17" s="16" t="s">
        <v>6</v>
      </c>
      <c r="J17" s="16" t="s">
        <v>11</v>
      </c>
      <c r="K17" s="16" t="s">
        <v>11</v>
      </c>
      <c r="L17" s="16" t="s">
        <v>11</v>
      </c>
      <c r="M17" s="11" t="s">
        <v>7</v>
      </c>
      <c r="N17" s="4">
        <v>0</v>
      </c>
    </row>
    <row r="18" spans="1:14" s="5" customFormat="1" ht="48" hidden="1" customHeight="1">
      <c r="A18" s="2">
        <v>14</v>
      </c>
      <c r="B18" s="12">
        <v>2563890073</v>
      </c>
      <c r="C18" s="12">
        <v>250371604028</v>
      </c>
      <c r="D18" s="13" t="s">
        <v>189</v>
      </c>
      <c r="E18" s="14" t="s">
        <v>26</v>
      </c>
      <c r="F18" s="15" t="s">
        <v>15</v>
      </c>
      <c r="G18" s="15" t="s">
        <v>85</v>
      </c>
      <c r="H18" s="3" t="s">
        <v>7</v>
      </c>
      <c r="I18" s="16" t="s">
        <v>11</v>
      </c>
      <c r="J18" s="16" t="s">
        <v>7</v>
      </c>
      <c r="K18" s="16" t="s">
        <v>6</v>
      </c>
      <c r="L18" s="16" t="s">
        <v>11</v>
      </c>
      <c r="M18" s="11" t="s">
        <v>7</v>
      </c>
      <c r="N18" s="4">
        <v>0</v>
      </c>
    </row>
    <row r="19" spans="1:14" s="5" customFormat="1" ht="48" customHeight="1">
      <c r="A19" s="2">
        <v>15</v>
      </c>
      <c r="B19" s="12">
        <v>2563890157</v>
      </c>
      <c r="C19" s="12">
        <v>250371604033</v>
      </c>
      <c r="D19" s="13" t="s">
        <v>190</v>
      </c>
      <c r="E19" s="14" t="s">
        <v>26</v>
      </c>
      <c r="F19" s="15" t="s">
        <v>15</v>
      </c>
      <c r="G19" s="15" t="s">
        <v>85</v>
      </c>
      <c r="H19" s="3" t="s">
        <v>4</v>
      </c>
      <c r="I19" s="16" t="s">
        <v>2</v>
      </c>
      <c r="J19" s="16" t="s">
        <v>6</v>
      </c>
      <c r="K19" s="16" t="s">
        <v>6</v>
      </c>
      <c r="L19" s="16" t="s">
        <v>11</v>
      </c>
      <c r="M19" s="11" t="s">
        <v>17</v>
      </c>
      <c r="N19" s="4">
        <v>5.7777777777777777</v>
      </c>
    </row>
    <row r="20" spans="1:14" s="5" customFormat="1" ht="48" hidden="1" customHeight="1">
      <c r="A20" s="2">
        <v>16</v>
      </c>
      <c r="B20" s="12">
        <v>2563890042</v>
      </c>
      <c r="C20" s="12">
        <v>250371604034</v>
      </c>
      <c r="D20" s="13" t="s">
        <v>191</v>
      </c>
      <c r="E20" s="14" t="s">
        <v>26</v>
      </c>
      <c r="F20" s="15" t="s">
        <v>15</v>
      </c>
      <c r="G20" s="15" t="s">
        <v>85</v>
      </c>
      <c r="H20" s="3" t="s">
        <v>7</v>
      </c>
      <c r="I20" s="16" t="s">
        <v>7</v>
      </c>
      <c r="J20" s="16" t="s">
        <v>7</v>
      </c>
      <c r="K20" s="16" t="s">
        <v>7</v>
      </c>
      <c r="L20" s="16" t="s">
        <v>7</v>
      </c>
      <c r="M20" s="11" t="s">
        <v>7</v>
      </c>
      <c r="N20" s="4">
        <v>0</v>
      </c>
    </row>
    <row r="21" spans="1:14" s="5" customFormat="1" ht="48" hidden="1" customHeight="1">
      <c r="A21" s="2">
        <v>17</v>
      </c>
      <c r="B21" s="12">
        <v>2563890103</v>
      </c>
      <c r="C21" s="12">
        <v>250371604035</v>
      </c>
      <c r="D21" s="13" t="s">
        <v>192</v>
      </c>
      <c r="E21" s="14" t="s">
        <v>26</v>
      </c>
      <c r="F21" s="15" t="s">
        <v>15</v>
      </c>
      <c r="G21" s="15" t="s">
        <v>85</v>
      </c>
      <c r="H21" s="3" t="s">
        <v>7</v>
      </c>
      <c r="I21" s="16" t="s">
        <v>7</v>
      </c>
      <c r="J21" s="16" t="s">
        <v>11</v>
      </c>
      <c r="K21" s="16" t="s">
        <v>7</v>
      </c>
      <c r="L21" s="16" t="s">
        <v>7</v>
      </c>
      <c r="M21" s="11" t="s">
        <v>7</v>
      </c>
      <c r="N21" s="4">
        <v>0</v>
      </c>
    </row>
    <row r="22" spans="1:14" s="5" customFormat="1" ht="48" hidden="1" customHeight="1">
      <c r="A22" s="2">
        <v>18</v>
      </c>
      <c r="B22" s="12">
        <v>2563890208</v>
      </c>
      <c r="C22" s="12">
        <v>250371604036</v>
      </c>
      <c r="D22" s="13" t="s">
        <v>193</v>
      </c>
      <c r="E22" s="14" t="s">
        <v>26</v>
      </c>
      <c r="F22" s="15" t="s">
        <v>15</v>
      </c>
      <c r="G22" s="15" t="s">
        <v>85</v>
      </c>
      <c r="H22" s="3" t="s">
        <v>11</v>
      </c>
      <c r="I22" s="16" t="s">
        <v>1517</v>
      </c>
      <c r="J22" s="16" t="s">
        <v>6</v>
      </c>
      <c r="K22" s="16" t="s">
        <v>6</v>
      </c>
      <c r="L22" s="16" t="s">
        <v>6</v>
      </c>
      <c r="M22" s="11" t="s">
        <v>1517</v>
      </c>
      <c r="N22" s="4">
        <v>0</v>
      </c>
    </row>
    <row r="23" spans="1:14" s="5" customFormat="1" ht="48" hidden="1" customHeight="1">
      <c r="A23" s="2">
        <v>19</v>
      </c>
      <c r="B23" s="12">
        <v>2563890196</v>
      </c>
      <c r="C23" s="12">
        <v>250371604037</v>
      </c>
      <c r="D23" s="13" t="s">
        <v>194</v>
      </c>
      <c r="E23" s="14" t="s">
        <v>26</v>
      </c>
      <c r="F23" s="15" t="s">
        <v>15</v>
      </c>
      <c r="G23" s="15" t="s">
        <v>85</v>
      </c>
      <c r="H23" s="3" t="s">
        <v>7</v>
      </c>
      <c r="I23" s="16" t="s">
        <v>7</v>
      </c>
      <c r="J23" s="16" t="s">
        <v>7</v>
      </c>
      <c r="K23" s="16" t="s">
        <v>7</v>
      </c>
      <c r="L23" s="16" t="s">
        <v>7</v>
      </c>
      <c r="M23" s="11" t="s">
        <v>7</v>
      </c>
      <c r="N23" s="4">
        <v>0</v>
      </c>
    </row>
    <row r="24" spans="1:14" s="5" customFormat="1" ht="48" hidden="1" customHeight="1">
      <c r="A24" s="2">
        <v>20</v>
      </c>
      <c r="B24" s="12">
        <v>2563890139</v>
      </c>
      <c r="C24" s="12">
        <v>250371604039</v>
      </c>
      <c r="D24" s="13" t="s">
        <v>195</v>
      </c>
      <c r="E24" s="14" t="s">
        <v>26</v>
      </c>
      <c r="F24" s="15" t="s">
        <v>15</v>
      </c>
      <c r="G24" s="15" t="s">
        <v>85</v>
      </c>
      <c r="H24" s="3" t="s">
        <v>5</v>
      </c>
      <c r="I24" s="16" t="s">
        <v>11</v>
      </c>
      <c r="J24" s="16" t="s">
        <v>6</v>
      </c>
      <c r="K24" s="16" t="s">
        <v>1517</v>
      </c>
      <c r="L24" s="16" t="s">
        <v>5</v>
      </c>
      <c r="M24" s="11" t="s">
        <v>1517</v>
      </c>
      <c r="N24" s="4">
        <v>0</v>
      </c>
    </row>
    <row r="25" spans="1:14" s="5" customFormat="1" ht="48" customHeight="1">
      <c r="A25" s="2">
        <v>21</v>
      </c>
      <c r="B25" s="12">
        <v>2563890069</v>
      </c>
      <c r="C25" s="12">
        <v>250371604040</v>
      </c>
      <c r="D25" s="13" t="s">
        <v>196</v>
      </c>
      <c r="E25" s="14" t="s">
        <v>26</v>
      </c>
      <c r="F25" s="15" t="s">
        <v>15</v>
      </c>
      <c r="G25" s="15" t="s">
        <v>85</v>
      </c>
      <c r="H25" s="3" t="s">
        <v>4</v>
      </c>
      <c r="I25" s="16" t="s">
        <v>11</v>
      </c>
      <c r="J25" s="16" t="s">
        <v>11</v>
      </c>
      <c r="K25" s="16" t="s">
        <v>11</v>
      </c>
      <c r="L25" s="16" t="s">
        <v>11</v>
      </c>
      <c r="M25" s="11" t="s">
        <v>17</v>
      </c>
      <c r="N25" s="4">
        <v>4.5</v>
      </c>
    </row>
    <row r="26" spans="1:14" s="5" customFormat="1" ht="48" customHeight="1">
      <c r="A26" s="2">
        <v>22</v>
      </c>
      <c r="B26" s="12">
        <v>2563890036</v>
      </c>
      <c r="C26" s="12">
        <v>250371604042</v>
      </c>
      <c r="D26" s="13" t="s">
        <v>197</v>
      </c>
      <c r="E26" s="14" t="s">
        <v>26</v>
      </c>
      <c r="F26" s="15" t="s">
        <v>15</v>
      </c>
      <c r="G26" s="15" t="s">
        <v>85</v>
      </c>
      <c r="H26" s="3" t="s">
        <v>11</v>
      </c>
      <c r="I26" s="16" t="s">
        <v>6</v>
      </c>
      <c r="J26" s="16" t="s">
        <v>6</v>
      </c>
      <c r="K26" s="16" t="s">
        <v>5</v>
      </c>
      <c r="L26" s="16" t="s">
        <v>3</v>
      </c>
      <c r="M26" s="11" t="s">
        <v>17</v>
      </c>
      <c r="N26" s="4">
        <v>5.72</v>
      </c>
    </row>
    <row r="27" spans="1:14" s="5" customFormat="1" ht="48" customHeight="1">
      <c r="A27" s="2">
        <v>23</v>
      </c>
      <c r="B27" s="12">
        <v>2563890038</v>
      </c>
      <c r="C27" s="12">
        <v>250371604043</v>
      </c>
      <c r="D27" s="13" t="s">
        <v>198</v>
      </c>
      <c r="E27" s="14" t="s">
        <v>26</v>
      </c>
      <c r="F27" s="15" t="s">
        <v>15</v>
      </c>
      <c r="G27" s="15" t="s">
        <v>85</v>
      </c>
      <c r="H27" s="3" t="s">
        <v>6</v>
      </c>
      <c r="I27" s="16" t="s">
        <v>11</v>
      </c>
      <c r="J27" s="16" t="s">
        <v>11</v>
      </c>
      <c r="K27" s="16" t="s">
        <v>11</v>
      </c>
      <c r="L27" s="16" t="s">
        <v>11</v>
      </c>
      <c r="M27" s="11" t="s">
        <v>17</v>
      </c>
      <c r="N27" s="4">
        <v>4.17</v>
      </c>
    </row>
    <row r="28" spans="1:14" s="5" customFormat="1" ht="48" hidden="1" customHeight="1">
      <c r="A28" s="2">
        <v>24</v>
      </c>
      <c r="B28" s="12">
        <v>2563890204</v>
      </c>
      <c r="C28" s="12">
        <v>250371604045</v>
      </c>
      <c r="D28" s="13" t="s">
        <v>199</v>
      </c>
      <c r="E28" s="14" t="s">
        <v>26</v>
      </c>
      <c r="F28" s="15" t="s">
        <v>15</v>
      </c>
      <c r="G28" s="15" t="s">
        <v>85</v>
      </c>
      <c r="H28" s="3" t="s">
        <v>1517</v>
      </c>
      <c r="I28" s="16" t="s">
        <v>11</v>
      </c>
      <c r="J28" s="16" t="s">
        <v>11</v>
      </c>
      <c r="K28" s="16" t="s">
        <v>6</v>
      </c>
      <c r="L28" s="16" t="s">
        <v>11</v>
      </c>
      <c r="M28" s="11" t="s">
        <v>1517</v>
      </c>
      <c r="N28" s="4">
        <v>0</v>
      </c>
    </row>
    <row r="29" spans="1:14" s="5" customFormat="1" ht="48" hidden="1" customHeight="1">
      <c r="A29" s="2">
        <v>25</v>
      </c>
      <c r="B29" s="12">
        <v>2563890210</v>
      </c>
      <c r="C29" s="12">
        <v>250371604048</v>
      </c>
      <c r="D29" s="13" t="s">
        <v>200</v>
      </c>
      <c r="E29" s="14" t="s">
        <v>26</v>
      </c>
      <c r="F29" s="15" t="s">
        <v>15</v>
      </c>
      <c r="G29" s="15" t="s">
        <v>85</v>
      </c>
      <c r="H29" s="3" t="s">
        <v>7</v>
      </c>
      <c r="I29" s="16" t="s">
        <v>11</v>
      </c>
      <c r="J29" s="16" t="s">
        <v>11</v>
      </c>
      <c r="K29" s="16" t="s">
        <v>6</v>
      </c>
      <c r="L29" s="16" t="s">
        <v>11</v>
      </c>
      <c r="M29" s="11" t="s">
        <v>7</v>
      </c>
      <c r="N29" s="4">
        <v>0</v>
      </c>
    </row>
    <row r="30" spans="1:14" s="5" customFormat="1" ht="48" customHeight="1">
      <c r="A30" s="2">
        <v>26</v>
      </c>
      <c r="B30" s="12">
        <v>2563890044</v>
      </c>
      <c r="C30" s="12">
        <v>250371604050</v>
      </c>
      <c r="D30" s="13" t="s">
        <v>201</v>
      </c>
      <c r="E30" s="14" t="s">
        <v>26</v>
      </c>
      <c r="F30" s="15" t="s">
        <v>15</v>
      </c>
      <c r="G30" s="15" t="s">
        <v>85</v>
      </c>
      <c r="H30" s="3" t="s">
        <v>4</v>
      </c>
      <c r="I30" s="16" t="s">
        <v>3</v>
      </c>
      <c r="J30" s="16" t="s">
        <v>4</v>
      </c>
      <c r="K30" s="16" t="s">
        <v>6</v>
      </c>
      <c r="L30" s="16" t="s">
        <v>4</v>
      </c>
      <c r="M30" s="11" t="s">
        <v>17</v>
      </c>
      <c r="N30" s="4">
        <v>6.7222222222222223</v>
      </c>
    </row>
    <row r="31" spans="1:14" s="5" customFormat="1" ht="48" customHeight="1">
      <c r="A31" s="2">
        <v>27</v>
      </c>
      <c r="B31" s="12">
        <v>2563890193</v>
      </c>
      <c r="C31" s="12">
        <v>250371604052</v>
      </c>
      <c r="D31" s="13" t="s">
        <v>202</v>
      </c>
      <c r="E31" s="14" t="s">
        <v>26</v>
      </c>
      <c r="F31" s="15" t="s">
        <v>15</v>
      </c>
      <c r="G31" s="15" t="s">
        <v>85</v>
      </c>
      <c r="H31" s="3" t="s">
        <v>5</v>
      </c>
      <c r="I31" s="16" t="s">
        <v>5</v>
      </c>
      <c r="J31" s="16" t="s">
        <v>5</v>
      </c>
      <c r="K31" s="16" t="s">
        <v>5</v>
      </c>
      <c r="L31" s="16" t="s">
        <v>11</v>
      </c>
      <c r="M31" s="11" t="s">
        <v>17</v>
      </c>
      <c r="N31" s="4">
        <v>5.56</v>
      </c>
    </row>
    <row r="32" spans="1:14" s="5" customFormat="1" ht="48" customHeight="1">
      <c r="A32" s="2">
        <v>28</v>
      </c>
      <c r="B32" s="12">
        <v>2563890102</v>
      </c>
      <c r="C32" s="12">
        <v>250371604053</v>
      </c>
      <c r="D32" s="13" t="s">
        <v>203</v>
      </c>
      <c r="E32" s="14" t="s">
        <v>26</v>
      </c>
      <c r="F32" s="15" t="s">
        <v>15</v>
      </c>
      <c r="G32" s="15" t="s">
        <v>85</v>
      </c>
      <c r="H32" s="3" t="s">
        <v>6</v>
      </c>
      <c r="I32" s="16" t="s">
        <v>3</v>
      </c>
      <c r="J32" s="16" t="s">
        <v>11</v>
      </c>
      <c r="K32" s="16" t="s">
        <v>5</v>
      </c>
      <c r="L32" s="16" t="s">
        <v>6</v>
      </c>
      <c r="M32" s="11" t="s">
        <v>17</v>
      </c>
      <c r="N32" s="4">
        <v>5.5</v>
      </c>
    </row>
    <row r="33" spans="1:14" s="5" customFormat="1" ht="48" customHeight="1">
      <c r="A33" s="2">
        <v>29</v>
      </c>
      <c r="B33" s="12">
        <v>2563890202</v>
      </c>
      <c r="C33" s="12">
        <v>250371604054</v>
      </c>
      <c r="D33" s="13" t="s">
        <v>204</v>
      </c>
      <c r="E33" s="14" t="s">
        <v>26</v>
      </c>
      <c r="F33" s="15" t="s">
        <v>15</v>
      </c>
      <c r="G33" s="15" t="s">
        <v>85</v>
      </c>
      <c r="H33" s="3" t="s">
        <v>4</v>
      </c>
      <c r="I33" s="16" t="s">
        <v>4</v>
      </c>
      <c r="J33" s="16" t="s">
        <v>6</v>
      </c>
      <c r="K33" s="16" t="s">
        <v>5</v>
      </c>
      <c r="L33" s="16" t="s">
        <v>11</v>
      </c>
      <c r="M33" s="11" t="s">
        <v>17</v>
      </c>
      <c r="N33" s="4">
        <v>5.67</v>
      </c>
    </row>
    <row r="34" spans="1:14" s="5" customFormat="1" ht="48" customHeight="1">
      <c r="A34" s="2">
        <v>30</v>
      </c>
      <c r="B34" s="12">
        <v>2563890052</v>
      </c>
      <c r="C34" s="12">
        <v>250371604055</v>
      </c>
      <c r="D34" s="13" t="s">
        <v>205</v>
      </c>
      <c r="E34" s="14" t="s">
        <v>26</v>
      </c>
      <c r="F34" s="15" t="s">
        <v>15</v>
      </c>
      <c r="G34" s="15" t="s">
        <v>85</v>
      </c>
      <c r="H34" s="3" t="s">
        <v>11</v>
      </c>
      <c r="I34" s="16" t="s">
        <v>5</v>
      </c>
      <c r="J34" s="16" t="s">
        <v>11</v>
      </c>
      <c r="K34" s="16" t="s">
        <v>11</v>
      </c>
      <c r="L34" s="16" t="s">
        <v>11</v>
      </c>
      <c r="M34" s="11" t="s">
        <v>17</v>
      </c>
      <c r="N34" s="4">
        <v>4.33</v>
      </c>
    </row>
    <row r="35" spans="1:14" s="5" customFormat="1" ht="48" hidden="1" customHeight="1">
      <c r="A35" s="2">
        <v>31</v>
      </c>
      <c r="B35" s="12">
        <v>2563890099</v>
      </c>
      <c r="C35" s="12">
        <v>250371604057</v>
      </c>
      <c r="D35" s="13" t="s">
        <v>206</v>
      </c>
      <c r="E35" s="14" t="s">
        <v>26</v>
      </c>
      <c r="F35" s="15" t="s">
        <v>15</v>
      </c>
      <c r="G35" s="15" t="s">
        <v>85</v>
      </c>
      <c r="H35" s="3" t="s">
        <v>11</v>
      </c>
      <c r="I35" s="16" t="s">
        <v>7</v>
      </c>
      <c r="J35" s="16" t="s">
        <v>11</v>
      </c>
      <c r="K35" s="16" t="s">
        <v>7</v>
      </c>
      <c r="L35" s="16" t="s">
        <v>7</v>
      </c>
      <c r="M35" s="11" t="s">
        <v>7</v>
      </c>
      <c r="N35" s="4">
        <v>0</v>
      </c>
    </row>
    <row r="36" spans="1:14" s="5" customFormat="1" ht="48" customHeight="1">
      <c r="A36" s="2">
        <v>32</v>
      </c>
      <c r="B36" s="12">
        <v>2563890032</v>
      </c>
      <c r="C36" s="12">
        <v>250371604059</v>
      </c>
      <c r="D36" s="13" t="s">
        <v>207</v>
      </c>
      <c r="E36" s="14" t="s">
        <v>26</v>
      </c>
      <c r="F36" s="15" t="s">
        <v>15</v>
      </c>
      <c r="G36" s="15" t="s">
        <v>85</v>
      </c>
      <c r="H36" s="3" t="s">
        <v>6</v>
      </c>
      <c r="I36" s="16" t="s">
        <v>6</v>
      </c>
      <c r="J36" s="16" t="s">
        <v>11</v>
      </c>
      <c r="K36" s="16" t="s">
        <v>6</v>
      </c>
      <c r="L36" s="16" t="s">
        <v>11</v>
      </c>
      <c r="M36" s="11" t="s">
        <v>17</v>
      </c>
      <c r="N36" s="4">
        <v>4.5599999999999996</v>
      </c>
    </row>
    <row r="37" spans="1:14" s="5" customFormat="1" ht="48" hidden="1" customHeight="1">
      <c r="A37" s="2">
        <v>33</v>
      </c>
      <c r="B37" s="12">
        <v>2563890106</v>
      </c>
      <c r="C37" s="12">
        <v>250371604061</v>
      </c>
      <c r="D37" s="13" t="s">
        <v>208</v>
      </c>
      <c r="E37" s="14" t="s">
        <v>26</v>
      </c>
      <c r="F37" s="15" t="s">
        <v>15</v>
      </c>
      <c r="G37" s="15" t="s">
        <v>85</v>
      </c>
      <c r="H37" s="3" t="s">
        <v>7</v>
      </c>
      <c r="I37" s="16" t="s">
        <v>1516</v>
      </c>
      <c r="J37" s="16" t="s">
        <v>6</v>
      </c>
      <c r="K37" s="16" t="s">
        <v>11</v>
      </c>
      <c r="L37" s="16" t="s">
        <v>6</v>
      </c>
      <c r="M37" s="11" t="s">
        <v>1516</v>
      </c>
      <c r="N37" s="4">
        <v>0</v>
      </c>
    </row>
  </sheetData>
  <autoFilter ref="A3:N37">
    <filterColumn colId="6"/>
    <filterColumn colId="12">
      <filters>
        <filter val="PASS"/>
      </filters>
    </filterColumn>
  </autoFilter>
  <mergeCells count="10">
    <mergeCell ref="A1:N1"/>
    <mergeCell ref="A2:N2"/>
    <mergeCell ref="A3:A4"/>
    <mergeCell ref="B3:B4"/>
    <mergeCell ref="C3:C4"/>
    <mergeCell ref="D3:D4"/>
    <mergeCell ref="E3:E4"/>
    <mergeCell ref="F3:F4"/>
    <mergeCell ref="G3:G4"/>
    <mergeCell ref="N3:N4"/>
  </mergeCells>
  <printOptions horizontalCentered="1"/>
  <pageMargins left="0.53" right="0.48" top="0.31" bottom="0.44" header="0.22" footer="0.3"/>
  <pageSetup paperSize="8" scale="90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N27"/>
  <sheetViews>
    <sheetView workbookViewId="0">
      <selection activeCell="L39" sqref="L39"/>
    </sheetView>
  </sheetViews>
  <sheetFormatPr defaultRowHeight="15"/>
  <cols>
    <col min="1" max="1" width="6.5703125" style="6" bestFit="1" customWidth="1"/>
    <col min="2" max="2" width="16.28515625" style="6" customWidth="1"/>
    <col min="3" max="3" width="18.28515625" style="6" bestFit="1" customWidth="1"/>
    <col min="4" max="4" width="32.5703125" style="6" customWidth="1"/>
    <col min="5" max="5" width="10" style="32" customWidth="1"/>
    <col min="6" max="6" width="10.85546875" style="32" customWidth="1"/>
    <col min="7" max="7" width="13.5703125" style="6" customWidth="1"/>
    <col min="8" max="9" width="12" style="6" customWidth="1"/>
    <col min="10" max="10" width="18.85546875" style="6" customWidth="1"/>
    <col min="11" max="12" width="17.85546875" style="6" customWidth="1"/>
    <col min="13" max="13" width="15.28515625" style="6" customWidth="1"/>
    <col min="14" max="14" width="10.28515625" style="7" customWidth="1"/>
    <col min="15" max="16384" width="9.140625" style="6"/>
  </cols>
  <sheetData>
    <row r="1" spans="1:14" s="31" customFormat="1" ht="30" customHeight="1">
      <c r="A1" s="58" t="s">
        <v>1519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</row>
    <row r="2" spans="1:14" s="5" customFormat="1" ht="30" customHeight="1">
      <c r="A2" s="59" t="s">
        <v>1518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</row>
    <row r="3" spans="1:14" s="8" customFormat="1" ht="74.25" customHeight="1">
      <c r="A3" s="53" t="s">
        <v>1</v>
      </c>
      <c r="B3" s="53" t="s">
        <v>16</v>
      </c>
      <c r="C3" s="53" t="s">
        <v>12</v>
      </c>
      <c r="D3" s="53" t="s">
        <v>13</v>
      </c>
      <c r="E3" s="53" t="s">
        <v>14</v>
      </c>
      <c r="F3" s="53" t="s">
        <v>0</v>
      </c>
      <c r="G3" s="53" t="s">
        <v>31</v>
      </c>
      <c r="H3" s="1" t="s">
        <v>78</v>
      </c>
      <c r="I3" s="1" t="s">
        <v>79</v>
      </c>
      <c r="J3" s="1" t="s">
        <v>80</v>
      </c>
      <c r="K3" s="1" t="s">
        <v>81</v>
      </c>
      <c r="L3" s="1" t="s">
        <v>82</v>
      </c>
      <c r="M3" s="1" t="s">
        <v>10</v>
      </c>
      <c r="N3" s="55" t="s">
        <v>9</v>
      </c>
    </row>
    <row r="4" spans="1:14" s="8" customFormat="1" ht="29.25" customHeight="1">
      <c r="A4" s="54"/>
      <c r="B4" s="54"/>
      <c r="C4" s="54"/>
      <c r="D4" s="54"/>
      <c r="E4" s="54"/>
      <c r="F4" s="54"/>
      <c r="G4" s="54"/>
      <c r="H4" s="10">
        <v>3</v>
      </c>
      <c r="I4" s="10">
        <v>3</v>
      </c>
      <c r="J4" s="10">
        <v>4</v>
      </c>
      <c r="K4" s="10">
        <v>4</v>
      </c>
      <c r="L4" s="10">
        <v>4</v>
      </c>
      <c r="M4" s="10">
        <f>SUM(H4:L4)</f>
        <v>18</v>
      </c>
      <c r="N4" s="56"/>
    </row>
    <row r="5" spans="1:14" s="5" customFormat="1" ht="48" customHeight="1">
      <c r="A5" s="2">
        <v>1</v>
      </c>
      <c r="B5" s="12">
        <v>2563890089</v>
      </c>
      <c r="C5" s="12">
        <v>250371606002</v>
      </c>
      <c r="D5" s="13" t="s">
        <v>209</v>
      </c>
      <c r="E5" s="14" t="s">
        <v>25</v>
      </c>
      <c r="F5" s="15" t="s">
        <v>15</v>
      </c>
      <c r="G5" s="15" t="s">
        <v>34</v>
      </c>
      <c r="H5" s="3" t="s">
        <v>3</v>
      </c>
      <c r="I5" s="16" t="s">
        <v>2</v>
      </c>
      <c r="J5" s="16" t="s">
        <v>3</v>
      </c>
      <c r="K5" s="16" t="s">
        <v>11</v>
      </c>
      <c r="L5" s="16" t="s">
        <v>4</v>
      </c>
      <c r="M5" s="11" t="s">
        <v>17</v>
      </c>
      <c r="N5" s="4">
        <v>7.0555555555555554</v>
      </c>
    </row>
    <row r="6" spans="1:14" s="5" customFormat="1" ht="48" customHeight="1">
      <c r="A6" s="2">
        <v>2</v>
      </c>
      <c r="B6" s="12">
        <v>2563890188</v>
      </c>
      <c r="C6" s="12">
        <v>250371606004</v>
      </c>
      <c r="D6" s="13" t="s">
        <v>210</v>
      </c>
      <c r="E6" s="14" t="s">
        <v>25</v>
      </c>
      <c r="F6" s="15" t="s">
        <v>15</v>
      </c>
      <c r="G6" s="15" t="s">
        <v>34</v>
      </c>
      <c r="H6" s="3" t="s">
        <v>5</v>
      </c>
      <c r="I6" s="16" t="s">
        <v>3</v>
      </c>
      <c r="J6" s="16" t="s">
        <v>4</v>
      </c>
      <c r="K6" s="16" t="s">
        <v>7</v>
      </c>
      <c r="L6" s="16" t="s">
        <v>4</v>
      </c>
      <c r="M6" s="11" t="s">
        <v>7</v>
      </c>
      <c r="N6" s="4">
        <v>0</v>
      </c>
    </row>
    <row r="7" spans="1:14" s="5" customFormat="1" ht="48" customHeight="1">
      <c r="A7" s="2">
        <v>3</v>
      </c>
      <c r="B7" s="12">
        <v>2563890121</v>
      </c>
      <c r="C7" s="12">
        <v>250371606005</v>
      </c>
      <c r="D7" s="13" t="s">
        <v>211</v>
      </c>
      <c r="E7" s="14" t="s">
        <v>25</v>
      </c>
      <c r="F7" s="15" t="s">
        <v>15</v>
      </c>
      <c r="G7" s="15" t="s">
        <v>34</v>
      </c>
      <c r="H7" s="3" t="s">
        <v>2</v>
      </c>
      <c r="I7" s="16" t="s">
        <v>3</v>
      </c>
      <c r="J7" s="16" t="s">
        <v>4</v>
      </c>
      <c r="K7" s="16" t="s">
        <v>3</v>
      </c>
      <c r="L7" s="16" t="s">
        <v>4</v>
      </c>
      <c r="M7" s="11" t="s">
        <v>17</v>
      </c>
      <c r="N7" s="4">
        <v>7.7222222222222223</v>
      </c>
    </row>
    <row r="8" spans="1:14" s="5" customFormat="1" ht="48" customHeight="1">
      <c r="A8" s="2">
        <v>4</v>
      </c>
      <c r="B8" s="12">
        <v>2563890010</v>
      </c>
      <c r="C8" s="12">
        <v>250371606006</v>
      </c>
      <c r="D8" s="13" t="s">
        <v>212</v>
      </c>
      <c r="E8" s="14" t="s">
        <v>25</v>
      </c>
      <c r="F8" s="15" t="s">
        <v>15</v>
      </c>
      <c r="G8" s="15" t="s">
        <v>34</v>
      </c>
      <c r="H8" s="3" t="s">
        <v>2</v>
      </c>
      <c r="I8" s="16" t="s">
        <v>8</v>
      </c>
      <c r="J8" s="16" t="s">
        <v>3</v>
      </c>
      <c r="K8" s="16" t="s">
        <v>3</v>
      </c>
      <c r="L8" s="16" t="s">
        <v>3</v>
      </c>
      <c r="M8" s="11" t="s">
        <v>17</v>
      </c>
      <c r="N8" s="4">
        <v>8.5</v>
      </c>
    </row>
    <row r="9" spans="1:14" s="5" customFormat="1" ht="48" customHeight="1">
      <c r="A9" s="2">
        <v>5</v>
      </c>
      <c r="B9" s="12">
        <v>2563890108</v>
      </c>
      <c r="C9" s="12">
        <v>250371606009</v>
      </c>
      <c r="D9" s="13" t="s">
        <v>213</v>
      </c>
      <c r="E9" s="14" t="s">
        <v>25</v>
      </c>
      <c r="F9" s="15" t="s">
        <v>15</v>
      </c>
      <c r="G9" s="15" t="s">
        <v>34</v>
      </c>
      <c r="H9" s="3" t="s">
        <v>4</v>
      </c>
      <c r="I9" s="16" t="s">
        <v>2</v>
      </c>
      <c r="J9" s="16" t="s">
        <v>2</v>
      </c>
      <c r="K9" s="16" t="s">
        <v>4</v>
      </c>
      <c r="L9" s="16" t="s">
        <v>3</v>
      </c>
      <c r="M9" s="11" t="s">
        <v>17</v>
      </c>
      <c r="N9" s="4">
        <v>8</v>
      </c>
    </row>
    <row r="10" spans="1:14" s="5" customFormat="1" ht="48" customHeight="1">
      <c r="A10" s="2">
        <v>6</v>
      </c>
      <c r="B10" s="12">
        <v>2563890063</v>
      </c>
      <c r="C10" s="12">
        <v>250371606010</v>
      </c>
      <c r="D10" s="13" t="s">
        <v>214</v>
      </c>
      <c r="E10" s="14" t="s">
        <v>25</v>
      </c>
      <c r="F10" s="15" t="s">
        <v>15</v>
      </c>
      <c r="G10" s="15" t="s">
        <v>34</v>
      </c>
      <c r="H10" s="3" t="s">
        <v>5</v>
      </c>
      <c r="I10" s="16" t="s">
        <v>4</v>
      </c>
      <c r="J10" s="16" t="s">
        <v>3</v>
      </c>
      <c r="K10" s="16" t="s">
        <v>7</v>
      </c>
      <c r="L10" s="16" t="s">
        <v>6</v>
      </c>
      <c r="M10" s="11" t="s">
        <v>7</v>
      </c>
      <c r="N10" s="4">
        <v>0</v>
      </c>
    </row>
    <row r="11" spans="1:14" s="5" customFormat="1" ht="48" customHeight="1">
      <c r="A11" s="2">
        <v>7</v>
      </c>
      <c r="B11" s="12">
        <v>2563890197</v>
      </c>
      <c r="C11" s="12">
        <v>250371606012</v>
      </c>
      <c r="D11" s="13" t="s">
        <v>215</v>
      </c>
      <c r="E11" s="14" t="s">
        <v>25</v>
      </c>
      <c r="F11" s="15" t="s">
        <v>15</v>
      </c>
      <c r="G11" s="15" t="s">
        <v>34</v>
      </c>
      <c r="H11" s="3" t="s">
        <v>3</v>
      </c>
      <c r="I11" s="16" t="s">
        <v>8</v>
      </c>
      <c r="J11" s="16" t="s">
        <v>3</v>
      </c>
      <c r="K11" s="16" t="s">
        <v>5</v>
      </c>
      <c r="L11" s="16" t="s">
        <v>5</v>
      </c>
      <c r="M11" s="11" t="s">
        <v>17</v>
      </c>
      <c r="N11" s="4">
        <v>7.44</v>
      </c>
    </row>
    <row r="12" spans="1:14" s="5" customFormat="1" ht="48" customHeight="1">
      <c r="A12" s="2">
        <v>8</v>
      </c>
      <c r="B12" s="12">
        <v>2563890169</v>
      </c>
      <c r="C12" s="12">
        <v>250371606014</v>
      </c>
      <c r="D12" s="13" t="s">
        <v>216</v>
      </c>
      <c r="E12" s="14" t="s">
        <v>25</v>
      </c>
      <c r="F12" s="15" t="s">
        <v>15</v>
      </c>
      <c r="G12" s="15" t="s">
        <v>34</v>
      </c>
      <c r="H12" s="3" t="s">
        <v>1516</v>
      </c>
      <c r="I12" s="16" t="s">
        <v>1516</v>
      </c>
      <c r="J12" s="16" t="s">
        <v>1516</v>
      </c>
      <c r="K12" s="16" t="s">
        <v>1516</v>
      </c>
      <c r="L12" s="16" t="s">
        <v>1516</v>
      </c>
      <c r="M12" s="11" t="s">
        <v>1516</v>
      </c>
      <c r="N12" s="4">
        <v>0</v>
      </c>
    </row>
    <row r="13" spans="1:14" s="5" customFormat="1" ht="48" customHeight="1">
      <c r="A13" s="2">
        <v>9</v>
      </c>
      <c r="B13" s="12">
        <v>2563890004</v>
      </c>
      <c r="C13" s="12">
        <v>250371606015</v>
      </c>
      <c r="D13" s="13" t="s">
        <v>217</v>
      </c>
      <c r="E13" s="14" t="s">
        <v>25</v>
      </c>
      <c r="F13" s="15" t="s">
        <v>15</v>
      </c>
      <c r="G13" s="15" t="s">
        <v>34</v>
      </c>
      <c r="H13" s="3" t="s">
        <v>3</v>
      </c>
      <c r="I13" s="16" t="s">
        <v>3</v>
      </c>
      <c r="J13" s="16" t="s">
        <v>4</v>
      </c>
      <c r="K13" s="16" t="s">
        <v>3</v>
      </c>
      <c r="L13" s="16" t="s">
        <v>4</v>
      </c>
      <c r="M13" s="11" t="s">
        <v>17</v>
      </c>
      <c r="N13" s="4">
        <v>7.5555555555555554</v>
      </c>
    </row>
    <row r="14" spans="1:14" s="5" customFormat="1" ht="48" customHeight="1">
      <c r="A14" s="2">
        <v>10</v>
      </c>
      <c r="B14" s="12">
        <v>2563890097</v>
      </c>
      <c r="C14" s="12">
        <v>250371606016</v>
      </c>
      <c r="D14" s="13" t="s">
        <v>218</v>
      </c>
      <c r="E14" s="14" t="s">
        <v>25</v>
      </c>
      <c r="F14" s="15" t="s">
        <v>15</v>
      </c>
      <c r="G14" s="15" t="s">
        <v>34</v>
      </c>
      <c r="H14" s="3" t="s">
        <v>5</v>
      </c>
      <c r="I14" s="16" t="s">
        <v>3</v>
      </c>
      <c r="J14" s="16" t="s">
        <v>4</v>
      </c>
      <c r="K14" s="16" t="s">
        <v>5</v>
      </c>
      <c r="L14" s="16" t="s">
        <v>5</v>
      </c>
      <c r="M14" s="11" t="s">
        <v>17</v>
      </c>
      <c r="N14" s="4">
        <v>6.56</v>
      </c>
    </row>
    <row r="15" spans="1:14" s="5" customFormat="1" ht="48" customHeight="1">
      <c r="A15" s="2">
        <v>11</v>
      </c>
      <c r="B15" s="12">
        <v>2563890085</v>
      </c>
      <c r="C15" s="12">
        <v>250371606017</v>
      </c>
      <c r="D15" s="13" t="s">
        <v>219</v>
      </c>
      <c r="E15" s="14" t="s">
        <v>25</v>
      </c>
      <c r="F15" s="15" t="s">
        <v>15</v>
      </c>
      <c r="G15" s="15" t="s">
        <v>34</v>
      </c>
      <c r="H15" s="3" t="s">
        <v>3</v>
      </c>
      <c r="I15" s="16" t="s">
        <v>4</v>
      </c>
      <c r="J15" s="16" t="s">
        <v>3</v>
      </c>
      <c r="K15" s="16" t="s">
        <v>4</v>
      </c>
      <c r="L15" s="16" t="s">
        <v>4</v>
      </c>
      <c r="M15" s="11" t="s">
        <v>17</v>
      </c>
      <c r="N15" s="4">
        <v>7.3888888888888893</v>
      </c>
    </row>
    <row r="16" spans="1:14" s="5" customFormat="1" ht="48" customHeight="1">
      <c r="A16" s="2">
        <v>12</v>
      </c>
      <c r="B16" s="12">
        <v>2563890016</v>
      </c>
      <c r="C16" s="12">
        <v>250371606020</v>
      </c>
      <c r="D16" s="13" t="s">
        <v>220</v>
      </c>
      <c r="E16" s="14" t="s">
        <v>25</v>
      </c>
      <c r="F16" s="15" t="s">
        <v>15</v>
      </c>
      <c r="G16" s="15" t="s">
        <v>34</v>
      </c>
      <c r="H16" s="3" t="s">
        <v>2</v>
      </c>
      <c r="I16" s="16" t="s">
        <v>4</v>
      </c>
      <c r="J16" s="16" t="s">
        <v>4</v>
      </c>
      <c r="K16" s="16" t="s">
        <v>4</v>
      </c>
      <c r="L16" s="16" t="s">
        <v>4</v>
      </c>
      <c r="M16" s="11" t="s">
        <v>17</v>
      </c>
      <c r="N16" s="4">
        <v>7.333333333333333</v>
      </c>
    </row>
    <row r="17" spans="1:14" s="5" customFormat="1" ht="48" customHeight="1">
      <c r="A17" s="2">
        <v>13</v>
      </c>
      <c r="B17" s="12">
        <v>2563890082</v>
      </c>
      <c r="C17" s="12">
        <v>250371606023</v>
      </c>
      <c r="D17" s="13" t="s">
        <v>221</v>
      </c>
      <c r="E17" s="14" t="s">
        <v>25</v>
      </c>
      <c r="F17" s="15" t="s">
        <v>15</v>
      </c>
      <c r="G17" s="15" t="s">
        <v>34</v>
      </c>
      <c r="H17" s="3" t="s">
        <v>2</v>
      </c>
      <c r="I17" s="16" t="s">
        <v>2</v>
      </c>
      <c r="J17" s="16" t="s">
        <v>4</v>
      </c>
      <c r="K17" s="16" t="s">
        <v>4</v>
      </c>
      <c r="L17" s="16" t="s">
        <v>4</v>
      </c>
      <c r="M17" s="11" t="s">
        <v>17</v>
      </c>
      <c r="N17" s="4">
        <v>7.666666666666667</v>
      </c>
    </row>
    <row r="18" spans="1:14" s="5" customFormat="1" ht="48" customHeight="1">
      <c r="A18" s="2">
        <v>14</v>
      </c>
      <c r="B18" s="12">
        <v>2563890043</v>
      </c>
      <c r="C18" s="12">
        <v>250371606026</v>
      </c>
      <c r="D18" s="13" t="s">
        <v>222</v>
      </c>
      <c r="E18" s="14" t="s">
        <v>25</v>
      </c>
      <c r="F18" s="15" t="s">
        <v>15</v>
      </c>
      <c r="G18" s="15" t="s">
        <v>34</v>
      </c>
      <c r="H18" s="3" t="s">
        <v>3</v>
      </c>
      <c r="I18" s="16" t="s">
        <v>4</v>
      </c>
      <c r="J18" s="16" t="s">
        <v>4</v>
      </c>
      <c r="K18" s="16" t="s">
        <v>3</v>
      </c>
      <c r="L18" s="16" t="s">
        <v>4</v>
      </c>
      <c r="M18" s="11" t="s">
        <v>17</v>
      </c>
      <c r="N18" s="4">
        <v>7.39</v>
      </c>
    </row>
    <row r="19" spans="1:14" s="5" customFormat="1" ht="48" customHeight="1">
      <c r="A19" s="2">
        <v>15</v>
      </c>
      <c r="B19" s="12">
        <v>2563890220</v>
      </c>
      <c r="C19" s="12">
        <v>250371606032</v>
      </c>
      <c r="D19" s="13" t="s">
        <v>223</v>
      </c>
      <c r="E19" s="14" t="s">
        <v>25</v>
      </c>
      <c r="F19" s="15" t="s">
        <v>15</v>
      </c>
      <c r="G19" s="15" t="s">
        <v>34</v>
      </c>
      <c r="H19" s="3" t="s">
        <v>3</v>
      </c>
      <c r="I19" s="16" t="s">
        <v>11</v>
      </c>
      <c r="J19" s="16" t="s">
        <v>4</v>
      </c>
      <c r="K19" s="16" t="s">
        <v>5</v>
      </c>
      <c r="L19" s="16" t="s">
        <v>4</v>
      </c>
      <c r="M19" s="11" t="s">
        <v>17</v>
      </c>
      <c r="N19" s="4">
        <v>6.4444444444444446</v>
      </c>
    </row>
    <row r="20" spans="1:14" s="5" customFormat="1" ht="48" customHeight="1">
      <c r="A20" s="2">
        <v>16</v>
      </c>
      <c r="B20" s="12">
        <v>2563890203</v>
      </c>
      <c r="C20" s="12">
        <v>250371606033</v>
      </c>
      <c r="D20" s="13" t="s">
        <v>224</v>
      </c>
      <c r="E20" s="14" t="s">
        <v>25</v>
      </c>
      <c r="F20" s="15" t="s">
        <v>15</v>
      </c>
      <c r="G20" s="15" t="s">
        <v>34</v>
      </c>
      <c r="H20" s="3" t="s">
        <v>3</v>
      </c>
      <c r="I20" s="16" t="s">
        <v>5</v>
      </c>
      <c r="J20" s="16" t="s">
        <v>5</v>
      </c>
      <c r="K20" s="16" t="s">
        <v>5</v>
      </c>
      <c r="L20" s="16" t="s">
        <v>11</v>
      </c>
      <c r="M20" s="11" t="s">
        <v>17</v>
      </c>
      <c r="N20" s="4">
        <v>5.8888888888888893</v>
      </c>
    </row>
    <row r="21" spans="1:14" s="5" customFormat="1" ht="48" customHeight="1">
      <c r="A21" s="2">
        <v>17</v>
      </c>
      <c r="B21" s="12">
        <v>2563890040</v>
      </c>
      <c r="C21" s="12">
        <v>250371606034</v>
      </c>
      <c r="D21" s="13" t="s">
        <v>225</v>
      </c>
      <c r="E21" s="14" t="s">
        <v>25</v>
      </c>
      <c r="F21" s="15" t="s">
        <v>15</v>
      </c>
      <c r="G21" s="15" t="s">
        <v>34</v>
      </c>
      <c r="H21" s="3" t="s">
        <v>4</v>
      </c>
      <c r="I21" s="16" t="s">
        <v>4</v>
      </c>
      <c r="J21" s="16" t="s">
        <v>4</v>
      </c>
      <c r="K21" s="16" t="s">
        <v>5</v>
      </c>
      <c r="L21" s="16" t="s">
        <v>4</v>
      </c>
      <c r="M21" s="11" t="s">
        <v>17</v>
      </c>
      <c r="N21" s="4">
        <v>6.7777777777777777</v>
      </c>
    </row>
    <row r="22" spans="1:14" s="5" customFormat="1" ht="48" customHeight="1">
      <c r="A22" s="2">
        <v>18</v>
      </c>
      <c r="B22" s="12">
        <v>2563890105</v>
      </c>
      <c r="C22" s="12">
        <v>250371606037</v>
      </c>
      <c r="D22" s="13" t="s">
        <v>226</v>
      </c>
      <c r="E22" s="14" t="s">
        <v>25</v>
      </c>
      <c r="F22" s="15" t="s">
        <v>15</v>
      </c>
      <c r="G22" s="15" t="s">
        <v>34</v>
      </c>
      <c r="H22" s="3" t="s">
        <v>6</v>
      </c>
      <c r="I22" s="16" t="s">
        <v>4</v>
      </c>
      <c r="J22" s="16" t="s">
        <v>6</v>
      </c>
      <c r="K22" s="16" t="s">
        <v>11</v>
      </c>
      <c r="L22" s="16" t="s">
        <v>6</v>
      </c>
      <c r="M22" s="11" t="s">
        <v>17</v>
      </c>
      <c r="N22" s="4">
        <v>5.1111111111111107</v>
      </c>
    </row>
    <row r="23" spans="1:14" s="5" customFormat="1" ht="48" customHeight="1">
      <c r="A23" s="2">
        <v>19</v>
      </c>
      <c r="B23" s="12">
        <v>2563890078</v>
      </c>
      <c r="C23" s="12">
        <v>250371606040</v>
      </c>
      <c r="D23" s="13" t="s">
        <v>227</v>
      </c>
      <c r="E23" s="14" t="s">
        <v>25</v>
      </c>
      <c r="F23" s="15" t="s">
        <v>15</v>
      </c>
      <c r="G23" s="15" t="s">
        <v>34</v>
      </c>
      <c r="H23" s="3" t="s">
        <v>4</v>
      </c>
      <c r="I23" s="16" t="s">
        <v>4</v>
      </c>
      <c r="J23" s="16" t="s">
        <v>5</v>
      </c>
      <c r="K23" s="16" t="s">
        <v>6</v>
      </c>
      <c r="L23" s="16" t="s">
        <v>1517</v>
      </c>
      <c r="M23" s="11" t="s">
        <v>1517</v>
      </c>
      <c r="N23" s="4">
        <v>0</v>
      </c>
    </row>
    <row r="24" spans="1:14" s="5" customFormat="1" ht="48" customHeight="1">
      <c r="A24" s="2">
        <v>20</v>
      </c>
      <c r="B24" s="12">
        <v>2563890190</v>
      </c>
      <c r="C24" s="12">
        <v>250371606042</v>
      </c>
      <c r="D24" s="13" t="s">
        <v>228</v>
      </c>
      <c r="E24" s="14" t="s">
        <v>25</v>
      </c>
      <c r="F24" s="15" t="s">
        <v>15</v>
      </c>
      <c r="G24" s="15" t="s">
        <v>34</v>
      </c>
      <c r="H24" s="3" t="s">
        <v>7</v>
      </c>
      <c r="I24" s="16" t="s">
        <v>3</v>
      </c>
      <c r="J24" s="16" t="s">
        <v>4</v>
      </c>
      <c r="K24" s="16" t="s">
        <v>5</v>
      </c>
      <c r="L24" s="16" t="s">
        <v>5</v>
      </c>
      <c r="M24" s="11" t="s">
        <v>7</v>
      </c>
      <c r="N24" s="4">
        <v>0</v>
      </c>
    </row>
    <row r="25" spans="1:14" s="5" customFormat="1" ht="48" customHeight="1">
      <c r="A25" s="2">
        <v>21</v>
      </c>
      <c r="B25" s="12">
        <v>2563890221</v>
      </c>
      <c r="C25" s="12">
        <v>250371606043</v>
      </c>
      <c r="D25" s="13" t="s">
        <v>229</v>
      </c>
      <c r="E25" s="14" t="s">
        <v>25</v>
      </c>
      <c r="F25" s="15" t="s">
        <v>15</v>
      </c>
      <c r="G25" s="15" t="s">
        <v>34</v>
      </c>
      <c r="H25" s="3" t="s">
        <v>5</v>
      </c>
      <c r="I25" s="16" t="s">
        <v>7</v>
      </c>
      <c r="J25" s="16" t="s">
        <v>5</v>
      </c>
      <c r="K25" s="16" t="s">
        <v>11</v>
      </c>
      <c r="L25" s="16" t="s">
        <v>4</v>
      </c>
      <c r="M25" s="11" t="s">
        <v>7</v>
      </c>
      <c r="N25" s="4">
        <v>0</v>
      </c>
    </row>
    <row r="26" spans="1:14" s="5" customFormat="1" ht="48" customHeight="1">
      <c r="A26" s="2">
        <v>22</v>
      </c>
      <c r="B26" s="12">
        <v>2563890168</v>
      </c>
      <c r="C26" s="12">
        <v>250371606046</v>
      </c>
      <c r="D26" s="13" t="s">
        <v>230</v>
      </c>
      <c r="E26" s="14" t="s">
        <v>25</v>
      </c>
      <c r="F26" s="15" t="s">
        <v>15</v>
      </c>
      <c r="G26" s="15" t="s">
        <v>34</v>
      </c>
      <c r="H26" s="3" t="s">
        <v>5</v>
      </c>
      <c r="I26" s="16" t="s">
        <v>4</v>
      </c>
      <c r="J26" s="16" t="s">
        <v>4</v>
      </c>
      <c r="K26" s="16" t="s">
        <v>7</v>
      </c>
      <c r="L26" s="16" t="s">
        <v>4</v>
      </c>
      <c r="M26" s="11" t="s">
        <v>7</v>
      </c>
      <c r="N26" s="4">
        <v>0</v>
      </c>
    </row>
    <row r="27" spans="1:14" s="5" customFormat="1" ht="48" customHeight="1">
      <c r="A27" s="2">
        <v>23</v>
      </c>
      <c r="B27" s="12">
        <v>2563890234</v>
      </c>
      <c r="C27" s="12">
        <v>250371606050</v>
      </c>
      <c r="D27" s="13" t="s">
        <v>231</v>
      </c>
      <c r="E27" s="14" t="s">
        <v>25</v>
      </c>
      <c r="F27" s="15" t="s">
        <v>15</v>
      </c>
      <c r="G27" s="15" t="s">
        <v>34</v>
      </c>
      <c r="H27" s="3" t="s">
        <v>3</v>
      </c>
      <c r="I27" s="16" t="s">
        <v>3</v>
      </c>
      <c r="J27" s="16" t="s">
        <v>4</v>
      </c>
      <c r="K27" s="16" t="s">
        <v>4</v>
      </c>
      <c r="L27" s="16" t="s">
        <v>4</v>
      </c>
      <c r="M27" s="11" t="s">
        <v>17</v>
      </c>
      <c r="N27" s="4">
        <v>7.333333333333333</v>
      </c>
    </row>
  </sheetData>
  <autoFilter ref="A3:N27">
    <filterColumn colId="6"/>
    <filterColumn colId="12"/>
  </autoFilter>
  <mergeCells count="10">
    <mergeCell ref="A1:N1"/>
    <mergeCell ref="A2:N2"/>
    <mergeCell ref="A3:A4"/>
    <mergeCell ref="B3:B4"/>
    <mergeCell ref="C3:C4"/>
    <mergeCell ref="D3:D4"/>
    <mergeCell ref="E3:E4"/>
    <mergeCell ref="F3:F4"/>
    <mergeCell ref="G3:G4"/>
    <mergeCell ref="N3:N4"/>
  </mergeCells>
  <printOptions horizontalCentered="1"/>
  <pageMargins left="0.53" right="0.48" top="0.31" bottom="0.44" header="0.22" footer="0.3"/>
  <pageSetup paperSize="8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N33"/>
  <sheetViews>
    <sheetView workbookViewId="0">
      <selection activeCell="L39" sqref="L39"/>
    </sheetView>
  </sheetViews>
  <sheetFormatPr defaultRowHeight="15"/>
  <cols>
    <col min="1" max="1" width="6.5703125" style="6" bestFit="1" customWidth="1"/>
    <col min="2" max="2" width="16.28515625" style="6" customWidth="1"/>
    <col min="3" max="3" width="18.28515625" style="6" bestFit="1" customWidth="1"/>
    <col min="4" max="4" width="32.5703125" style="6" customWidth="1"/>
    <col min="5" max="5" width="10" style="32" customWidth="1"/>
    <col min="6" max="6" width="10.85546875" style="32" customWidth="1"/>
    <col min="7" max="7" width="13.5703125" style="6" customWidth="1"/>
    <col min="8" max="9" width="12" style="6" customWidth="1"/>
    <col min="10" max="10" width="18.85546875" style="6" customWidth="1"/>
    <col min="11" max="12" width="17.85546875" style="6" customWidth="1"/>
    <col min="13" max="13" width="15.28515625" style="6" customWidth="1"/>
    <col min="14" max="14" width="10.28515625" style="7" customWidth="1"/>
    <col min="15" max="16384" width="9.140625" style="6"/>
  </cols>
  <sheetData>
    <row r="1" spans="1:14" s="31" customFormat="1" ht="30" customHeight="1">
      <c r="A1" s="58" t="s">
        <v>1519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</row>
    <row r="2" spans="1:14" s="5" customFormat="1" ht="30" customHeight="1">
      <c r="A2" s="59" t="s">
        <v>1518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</row>
    <row r="3" spans="1:14" s="8" customFormat="1" ht="74.25" customHeight="1">
      <c r="A3" s="53" t="s">
        <v>1</v>
      </c>
      <c r="B3" s="53" t="s">
        <v>16</v>
      </c>
      <c r="C3" s="53" t="s">
        <v>12</v>
      </c>
      <c r="D3" s="53" t="s">
        <v>13</v>
      </c>
      <c r="E3" s="53" t="s">
        <v>14</v>
      </c>
      <c r="F3" s="53" t="s">
        <v>0</v>
      </c>
      <c r="G3" s="53" t="s">
        <v>31</v>
      </c>
      <c r="H3" s="1" t="s">
        <v>78</v>
      </c>
      <c r="I3" s="1" t="s">
        <v>83</v>
      </c>
      <c r="J3" s="1" t="s">
        <v>80</v>
      </c>
      <c r="K3" s="1" t="s">
        <v>81</v>
      </c>
      <c r="L3" s="1" t="s">
        <v>82</v>
      </c>
      <c r="M3" s="1" t="s">
        <v>10</v>
      </c>
      <c r="N3" s="55" t="s">
        <v>9</v>
      </c>
    </row>
    <row r="4" spans="1:14" s="8" customFormat="1" ht="29.25" customHeight="1">
      <c r="A4" s="54"/>
      <c r="B4" s="54"/>
      <c r="C4" s="54"/>
      <c r="D4" s="54"/>
      <c r="E4" s="54"/>
      <c r="F4" s="54"/>
      <c r="G4" s="54"/>
      <c r="H4" s="10">
        <v>3</v>
      </c>
      <c r="I4" s="10">
        <v>3</v>
      </c>
      <c r="J4" s="10">
        <v>4</v>
      </c>
      <c r="K4" s="10">
        <v>4</v>
      </c>
      <c r="L4" s="10">
        <v>4</v>
      </c>
      <c r="M4" s="10">
        <f>SUM(H4:L4)</f>
        <v>18</v>
      </c>
      <c r="N4" s="56"/>
    </row>
    <row r="5" spans="1:14" s="5" customFormat="1" ht="48" customHeight="1">
      <c r="A5" s="2">
        <v>1</v>
      </c>
      <c r="B5" s="12">
        <v>2563890226</v>
      </c>
      <c r="C5" s="12">
        <v>250371606001</v>
      </c>
      <c r="D5" s="13" t="s">
        <v>232</v>
      </c>
      <c r="E5" s="20" t="s">
        <v>25</v>
      </c>
      <c r="F5" s="15" t="s">
        <v>15</v>
      </c>
      <c r="G5" s="15" t="s">
        <v>85</v>
      </c>
      <c r="H5" s="3" t="s">
        <v>5</v>
      </c>
      <c r="I5" s="16" t="s">
        <v>4</v>
      </c>
      <c r="J5" s="16" t="s">
        <v>6</v>
      </c>
      <c r="K5" s="16" t="s">
        <v>5</v>
      </c>
      <c r="L5" s="16" t="s">
        <v>6</v>
      </c>
      <c r="M5" s="11" t="s">
        <v>17</v>
      </c>
      <c r="N5" s="4">
        <v>5.72</v>
      </c>
    </row>
    <row r="6" spans="1:14" s="5" customFormat="1" ht="48" customHeight="1">
      <c r="A6" s="2">
        <v>2</v>
      </c>
      <c r="B6" s="12">
        <v>2563890096</v>
      </c>
      <c r="C6" s="12">
        <v>250371606003</v>
      </c>
      <c r="D6" s="13" t="s">
        <v>233</v>
      </c>
      <c r="E6" s="20" t="s">
        <v>25</v>
      </c>
      <c r="F6" s="15" t="s">
        <v>15</v>
      </c>
      <c r="G6" s="15" t="s">
        <v>85</v>
      </c>
      <c r="H6" s="3" t="s">
        <v>4</v>
      </c>
      <c r="I6" s="16" t="s">
        <v>4</v>
      </c>
      <c r="J6" s="16" t="s">
        <v>5</v>
      </c>
      <c r="K6" s="16" t="s">
        <v>11</v>
      </c>
      <c r="L6" s="16" t="s">
        <v>5</v>
      </c>
      <c r="M6" s="11" t="s">
        <v>17</v>
      </c>
      <c r="N6" s="4">
        <v>5.8888888888888893</v>
      </c>
    </row>
    <row r="7" spans="1:14" s="5" customFormat="1" ht="48" customHeight="1">
      <c r="A7" s="2">
        <v>3</v>
      </c>
      <c r="B7" s="12">
        <v>2563890009</v>
      </c>
      <c r="C7" s="12">
        <v>250371606007</v>
      </c>
      <c r="D7" s="13" t="s">
        <v>234</v>
      </c>
      <c r="E7" s="20" t="s">
        <v>25</v>
      </c>
      <c r="F7" s="15" t="s">
        <v>15</v>
      </c>
      <c r="G7" s="15" t="s">
        <v>85</v>
      </c>
      <c r="H7" s="3" t="s">
        <v>6</v>
      </c>
      <c r="I7" s="16" t="s">
        <v>11</v>
      </c>
      <c r="J7" s="16" t="s">
        <v>7</v>
      </c>
      <c r="K7" s="16" t="s">
        <v>11</v>
      </c>
      <c r="L7" s="16" t="s">
        <v>11</v>
      </c>
      <c r="M7" s="11" t="s">
        <v>7</v>
      </c>
      <c r="N7" s="4">
        <v>0</v>
      </c>
    </row>
    <row r="8" spans="1:14" s="5" customFormat="1" ht="48" customHeight="1">
      <c r="A8" s="2">
        <v>4</v>
      </c>
      <c r="B8" s="12">
        <v>2563890206</v>
      </c>
      <c r="C8" s="12">
        <v>250371606008</v>
      </c>
      <c r="D8" s="13" t="s">
        <v>235</v>
      </c>
      <c r="E8" s="20" t="s">
        <v>25</v>
      </c>
      <c r="F8" s="15" t="s">
        <v>15</v>
      </c>
      <c r="G8" s="15" t="s">
        <v>85</v>
      </c>
      <c r="H8" s="3" t="s">
        <v>3</v>
      </c>
      <c r="I8" s="16" t="s">
        <v>2</v>
      </c>
      <c r="J8" s="16" t="s">
        <v>2</v>
      </c>
      <c r="K8" s="16" t="s">
        <v>3</v>
      </c>
      <c r="L8" s="16" t="s">
        <v>3</v>
      </c>
      <c r="M8" s="11" t="s">
        <v>17</v>
      </c>
      <c r="N8" s="4">
        <v>8.3888888888888893</v>
      </c>
    </row>
    <row r="9" spans="1:14" s="5" customFormat="1" ht="48" customHeight="1">
      <c r="A9" s="2">
        <v>5</v>
      </c>
      <c r="B9" s="12">
        <v>2563890048</v>
      </c>
      <c r="C9" s="12">
        <v>250371606011</v>
      </c>
      <c r="D9" s="13" t="s">
        <v>236</v>
      </c>
      <c r="E9" s="20" t="s">
        <v>25</v>
      </c>
      <c r="F9" s="15" t="s">
        <v>15</v>
      </c>
      <c r="G9" s="15" t="s">
        <v>85</v>
      </c>
      <c r="H9" s="3" t="s">
        <v>3</v>
      </c>
      <c r="I9" s="16" t="s">
        <v>2</v>
      </c>
      <c r="J9" s="16" t="s">
        <v>3</v>
      </c>
      <c r="K9" s="16" t="s">
        <v>7</v>
      </c>
      <c r="L9" s="16" t="s">
        <v>4</v>
      </c>
      <c r="M9" s="11" t="s">
        <v>7</v>
      </c>
      <c r="N9" s="4">
        <v>0</v>
      </c>
    </row>
    <row r="10" spans="1:14" s="5" customFormat="1" ht="48" customHeight="1">
      <c r="A10" s="2">
        <v>6</v>
      </c>
      <c r="B10" s="12">
        <v>2563890006</v>
      </c>
      <c r="C10" s="12">
        <v>250371606013</v>
      </c>
      <c r="D10" s="13" t="s">
        <v>237</v>
      </c>
      <c r="E10" s="20" t="s">
        <v>25</v>
      </c>
      <c r="F10" s="15" t="s">
        <v>15</v>
      </c>
      <c r="G10" s="15" t="s">
        <v>85</v>
      </c>
      <c r="H10" s="3" t="s">
        <v>3</v>
      </c>
      <c r="I10" s="16" t="s">
        <v>4</v>
      </c>
      <c r="J10" s="16" t="s">
        <v>2</v>
      </c>
      <c r="K10" s="16" t="s">
        <v>6</v>
      </c>
      <c r="L10" s="16" t="s">
        <v>4</v>
      </c>
      <c r="M10" s="11" t="s">
        <v>17</v>
      </c>
      <c r="N10" s="4">
        <v>7.166666666666667</v>
      </c>
    </row>
    <row r="11" spans="1:14" s="5" customFormat="1" ht="48" customHeight="1">
      <c r="A11" s="2">
        <v>7</v>
      </c>
      <c r="B11" s="12">
        <v>2563890013</v>
      </c>
      <c r="C11" s="12">
        <v>250371606018</v>
      </c>
      <c r="D11" s="13" t="s">
        <v>238</v>
      </c>
      <c r="E11" s="20" t="s">
        <v>25</v>
      </c>
      <c r="F11" s="15" t="s">
        <v>15</v>
      </c>
      <c r="G11" s="15" t="s">
        <v>85</v>
      </c>
      <c r="H11" s="3" t="s">
        <v>3</v>
      </c>
      <c r="I11" s="16" t="s">
        <v>1516</v>
      </c>
      <c r="J11" s="16" t="s">
        <v>7</v>
      </c>
      <c r="K11" s="16" t="s">
        <v>5</v>
      </c>
      <c r="L11" s="16" t="s">
        <v>3</v>
      </c>
      <c r="M11" s="11" t="s">
        <v>1516</v>
      </c>
      <c r="N11" s="4">
        <v>0</v>
      </c>
    </row>
    <row r="12" spans="1:14" s="5" customFormat="1" ht="48" customHeight="1">
      <c r="A12" s="2">
        <v>8</v>
      </c>
      <c r="B12" s="12">
        <v>2563890192</v>
      </c>
      <c r="C12" s="12">
        <v>250371606019</v>
      </c>
      <c r="D12" s="13" t="s">
        <v>239</v>
      </c>
      <c r="E12" s="20" t="s">
        <v>25</v>
      </c>
      <c r="F12" s="15" t="s">
        <v>15</v>
      </c>
      <c r="G12" s="15" t="s">
        <v>85</v>
      </c>
      <c r="H12" s="3" t="s">
        <v>2</v>
      </c>
      <c r="I12" s="16" t="s">
        <v>5</v>
      </c>
      <c r="J12" s="16" t="s">
        <v>3</v>
      </c>
      <c r="K12" s="16" t="s">
        <v>4</v>
      </c>
      <c r="L12" s="16" t="s">
        <v>3</v>
      </c>
      <c r="M12" s="11" t="s">
        <v>17</v>
      </c>
      <c r="N12" s="4">
        <v>7.61</v>
      </c>
    </row>
    <row r="13" spans="1:14" s="5" customFormat="1" ht="48" customHeight="1">
      <c r="A13" s="2">
        <v>9</v>
      </c>
      <c r="B13" s="12">
        <v>2563890247</v>
      </c>
      <c r="C13" s="12">
        <v>250371606021</v>
      </c>
      <c r="D13" s="13" t="s">
        <v>240</v>
      </c>
      <c r="E13" s="20" t="s">
        <v>25</v>
      </c>
      <c r="F13" s="15" t="s">
        <v>15</v>
      </c>
      <c r="G13" s="15" t="s">
        <v>85</v>
      </c>
      <c r="H13" s="3" t="s">
        <v>2</v>
      </c>
      <c r="I13" s="16" t="s">
        <v>5</v>
      </c>
      <c r="J13" s="16" t="s">
        <v>3</v>
      </c>
      <c r="K13" s="16" t="s">
        <v>2</v>
      </c>
      <c r="L13" s="16" t="s">
        <v>3</v>
      </c>
      <c r="M13" s="11" t="s">
        <v>17</v>
      </c>
      <c r="N13" s="4">
        <v>8.0555555555555554</v>
      </c>
    </row>
    <row r="14" spans="1:14" s="5" customFormat="1" ht="48" customHeight="1">
      <c r="A14" s="2">
        <v>10</v>
      </c>
      <c r="B14" s="12">
        <v>2563890232</v>
      </c>
      <c r="C14" s="12">
        <v>250371606022</v>
      </c>
      <c r="D14" s="13" t="s">
        <v>241</v>
      </c>
      <c r="E14" s="20" t="s">
        <v>25</v>
      </c>
      <c r="F14" s="15" t="s">
        <v>15</v>
      </c>
      <c r="G14" s="15" t="s">
        <v>85</v>
      </c>
      <c r="H14" s="3" t="s">
        <v>2</v>
      </c>
      <c r="I14" s="16" t="s">
        <v>5</v>
      </c>
      <c r="J14" s="16" t="s">
        <v>3</v>
      </c>
      <c r="K14" s="16" t="s">
        <v>3</v>
      </c>
      <c r="L14" s="16" t="s">
        <v>3</v>
      </c>
      <c r="M14" s="11" t="s">
        <v>17</v>
      </c>
      <c r="N14" s="4">
        <v>7.833333333333333</v>
      </c>
    </row>
    <row r="15" spans="1:14" s="5" customFormat="1" ht="48" customHeight="1">
      <c r="A15" s="2">
        <v>11</v>
      </c>
      <c r="B15" s="12">
        <v>2563890118</v>
      </c>
      <c r="C15" s="12">
        <v>250371606024</v>
      </c>
      <c r="D15" s="13" t="s">
        <v>242</v>
      </c>
      <c r="E15" s="20" t="s">
        <v>25</v>
      </c>
      <c r="F15" s="15" t="s">
        <v>15</v>
      </c>
      <c r="G15" s="15" t="s">
        <v>85</v>
      </c>
      <c r="H15" s="3" t="s">
        <v>3</v>
      </c>
      <c r="I15" s="16" t="s">
        <v>7</v>
      </c>
      <c r="J15" s="16" t="s">
        <v>3</v>
      </c>
      <c r="K15" s="16" t="s">
        <v>3</v>
      </c>
      <c r="L15" s="16" t="s">
        <v>4</v>
      </c>
      <c r="M15" s="11" t="s">
        <v>7</v>
      </c>
      <c r="N15" s="4">
        <v>0</v>
      </c>
    </row>
    <row r="16" spans="1:14" s="5" customFormat="1" ht="48" customHeight="1">
      <c r="A16" s="2">
        <v>12</v>
      </c>
      <c r="B16" s="12">
        <v>2563890127</v>
      </c>
      <c r="C16" s="12">
        <v>250371606025</v>
      </c>
      <c r="D16" s="13" t="s">
        <v>243</v>
      </c>
      <c r="E16" s="20" t="s">
        <v>25</v>
      </c>
      <c r="F16" s="15" t="s">
        <v>15</v>
      </c>
      <c r="G16" s="15" t="s">
        <v>85</v>
      </c>
      <c r="H16" s="3" t="s">
        <v>3</v>
      </c>
      <c r="I16" s="16" t="s">
        <v>5</v>
      </c>
      <c r="J16" s="16" t="s">
        <v>2</v>
      </c>
      <c r="K16" s="16" t="s">
        <v>2</v>
      </c>
      <c r="L16" s="16" t="s">
        <v>3</v>
      </c>
      <c r="M16" s="11" t="s">
        <v>17</v>
      </c>
      <c r="N16" s="4">
        <v>8.11</v>
      </c>
    </row>
    <row r="17" spans="1:14" s="5" customFormat="1" ht="48" customHeight="1">
      <c r="A17" s="2">
        <v>13</v>
      </c>
      <c r="B17" s="12">
        <v>2563890149</v>
      </c>
      <c r="C17" s="12">
        <v>250371606027</v>
      </c>
      <c r="D17" s="13" t="s">
        <v>244</v>
      </c>
      <c r="E17" s="20" t="s">
        <v>25</v>
      </c>
      <c r="F17" s="15" t="s">
        <v>15</v>
      </c>
      <c r="G17" s="15" t="s">
        <v>85</v>
      </c>
      <c r="H17" s="3" t="s">
        <v>3</v>
      </c>
      <c r="I17" s="16" t="s">
        <v>7</v>
      </c>
      <c r="J17" s="16" t="s">
        <v>4</v>
      </c>
      <c r="K17" s="16" t="s">
        <v>7</v>
      </c>
      <c r="L17" s="16" t="s">
        <v>4</v>
      </c>
      <c r="M17" s="11" t="s">
        <v>7</v>
      </c>
      <c r="N17" s="4">
        <v>0</v>
      </c>
    </row>
    <row r="18" spans="1:14" s="5" customFormat="1" ht="48" customHeight="1">
      <c r="A18" s="2">
        <v>14</v>
      </c>
      <c r="B18" s="12">
        <v>2563890047</v>
      </c>
      <c r="C18" s="12">
        <v>250371606028</v>
      </c>
      <c r="D18" s="13" t="s">
        <v>245</v>
      </c>
      <c r="E18" s="20" t="s">
        <v>25</v>
      </c>
      <c r="F18" s="15" t="s">
        <v>15</v>
      </c>
      <c r="G18" s="15" t="s">
        <v>85</v>
      </c>
      <c r="H18" s="3" t="s">
        <v>3</v>
      </c>
      <c r="I18" s="16" t="s">
        <v>5</v>
      </c>
      <c r="J18" s="16" t="s">
        <v>3</v>
      </c>
      <c r="K18" s="16" t="s">
        <v>5</v>
      </c>
      <c r="L18" s="16" t="s">
        <v>3</v>
      </c>
      <c r="M18" s="11" t="s">
        <v>17</v>
      </c>
      <c r="N18" s="4">
        <v>7.22</v>
      </c>
    </row>
    <row r="19" spans="1:14" s="5" customFormat="1" ht="48" customHeight="1">
      <c r="A19" s="2">
        <v>15</v>
      </c>
      <c r="B19" s="12">
        <v>2563890154</v>
      </c>
      <c r="C19" s="12">
        <v>250371606029</v>
      </c>
      <c r="D19" s="13" t="s">
        <v>246</v>
      </c>
      <c r="E19" s="20" t="s">
        <v>25</v>
      </c>
      <c r="F19" s="15" t="s">
        <v>15</v>
      </c>
      <c r="G19" s="15" t="s">
        <v>85</v>
      </c>
      <c r="H19" s="3" t="s">
        <v>4</v>
      </c>
      <c r="I19" s="16" t="s">
        <v>7</v>
      </c>
      <c r="J19" s="16" t="s">
        <v>6</v>
      </c>
      <c r="K19" s="16" t="s">
        <v>5</v>
      </c>
      <c r="L19" s="16" t="s">
        <v>5</v>
      </c>
      <c r="M19" s="11" t="s">
        <v>7</v>
      </c>
      <c r="N19" s="4">
        <v>0</v>
      </c>
    </row>
    <row r="20" spans="1:14" s="5" customFormat="1" ht="48" customHeight="1">
      <c r="A20" s="2">
        <v>16</v>
      </c>
      <c r="B20" s="12">
        <v>2563890170</v>
      </c>
      <c r="C20" s="12">
        <v>250371606030</v>
      </c>
      <c r="D20" s="13" t="s">
        <v>247</v>
      </c>
      <c r="E20" s="20" t="s">
        <v>25</v>
      </c>
      <c r="F20" s="15" t="s">
        <v>15</v>
      </c>
      <c r="G20" s="15" t="s">
        <v>85</v>
      </c>
      <c r="H20" s="3" t="s">
        <v>3</v>
      </c>
      <c r="I20" s="16" t="s">
        <v>7</v>
      </c>
      <c r="J20" s="16" t="s">
        <v>3</v>
      </c>
      <c r="K20" s="16" t="s">
        <v>5</v>
      </c>
      <c r="L20" s="16" t="s">
        <v>3</v>
      </c>
      <c r="M20" s="11" t="s">
        <v>7</v>
      </c>
      <c r="N20" s="4">
        <v>0</v>
      </c>
    </row>
    <row r="21" spans="1:14" s="5" customFormat="1" ht="48" customHeight="1">
      <c r="A21" s="2">
        <v>17</v>
      </c>
      <c r="B21" s="12">
        <v>2563890068</v>
      </c>
      <c r="C21" s="12">
        <v>250371606031</v>
      </c>
      <c r="D21" s="13" t="s">
        <v>248</v>
      </c>
      <c r="E21" s="20" t="s">
        <v>25</v>
      </c>
      <c r="F21" s="15" t="s">
        <v>15</v>
      </c>
      <c r="G21" s="15" t="s">
        <v>85</v>
      </c>
      <c r="H21" s="3" t="s">
        <v>3</v>
      </c>
      <c r="I21" s="16" t="s">
        <v>5</v>
      </c>
      <c r="J21" s="16" t="s">
        <v>4</v>
      </c>
      <c r="K21" s="16" t="s">
        <v>5</v>
      </c>
      <c r="L21" s="16" t="s">
        <v>6</v>
      </c>
      <c r="M21" s="11" t="s">
        <v>17</v>
      </c>
      <c r="N21" s="4">
        <v>6.33</v>
      </c>
    </row>
    <row r="22" spans="1:14" s="5" customFormat="1" ht="48" customHeight="1">
      <c r="A22" s="2">
        <v>18</v>
      </c>
      <c r="B22" s="12">
        <v>2563890020</v>
      </c>
      <c r="C22" s="12">
        <v>250371606035</v>
      </c>
      <c r="D22" s="13" t="s">
        <v>249</v>
      </c>
      <c r="E22" s="20" t="s">
        <v>25</v>
      </c>
      <c r="F22" s="15" t="s">
        <v>15</v>
      </c>
      <c r="G22" s="15" t="s">
        <v>85</v>
      </c>
      <c r="H22" s="3" t="s">
        <v>3</v>
      </c>
      <c r="I22" s="16" t="s">
        <v>3</v>
      </c>
      <c r="J22" s="16" t="s">
        <v>3</v>
      </c>
      <c r="K22" s="16" t="s">
        <v>6</v>
      </c>
      <c r="L22" s="16" t="s">
        <v>4</v>
      </c>
      <c r="M22" s="11" t="s">
        <v>17</v>
      </c>
      <c r="N22" s="4">
        <v>7.1111111111111107</v>
      </c>
    </row>
    <row r="23" spans="1:14" s="5" customFormat="1" ht="48" customHeight="1">
      <c r="A23" s="2">
        <v>19</v>
      </c>
      <c r="B23" s="12">
        <v>2563890066</v>
      </c>
      <c r="C23" s="12">
        <v>250371606036</v>
      </c>
      <c r="D23" s="13" t="s">
        <v>250</v>
      </c>
      <c r="E23" s="20" t="s">
        <v>25</v>
      </c>
      <c r="F23" s="15" t="s">
        <v>15</v>
      </c>
      <c r="G23" s="15" t="s">
        <v>85</v>
      </c>
      <c r="H23" s="3" t="s">
        <v>11</v>
      </c>
      <c r="I23" s="16" t="s">
        <v>7</v>
      </c>
      <c r="J23" s="16" t="s">
        <v>7</v>
      </c>
      <c r="K23" s="16" t="s">
        <v>7</v>
      </c>
      <c r="L23" s="16" t="s">
        <v>7</v>
      </c>
      <c r="M23" s="11" t="s">
        <v>7</v>
      </c>
      <c r="N23" s="4">
        <v>0</v>
      </c>
    </row>
    <row r="24" spans="1:14" s="5" customFormat="1" ht="48" customHeight="1">
      <c r="A24" s="2">
        <v>20</v>
      </c>
      <c r="B24" s="12">
        <v>2563890134</v>
      </c>
      <c r="C24" s="12">
        <v>250371606038</v>
      </c>
      <c r="D24" s="13" t="s">
        <v>251</v>
      </c>
      <c r="E24" s="20" t="s">
        <v>25</v>
      </c>
      <c r="F24" s="15" t="s">
        <v>15</v>
      </c>
      <c r="G24" s="15" t="s">
        <v>85</v>
      </c>
      <c r="H24" s="3" t="s">
        <v>3</v>
      </c>
      <c r="I24" s="16" t="s">
        <v>4</v>
      </c>
      <c r="J24" s="16" t="s">
        <v>3</v>
      </c>
      <c r="K24" s="16" t="s">
        <v>11</v>
      </c>
      <c r="L24" s="16" t="s">
        <v>4</v>
      </c>
      <c r="M24" s="11" t="s">
        <v>17</v>
      </c>
      <c r="N24" s="4">
        <v>6.7222222222222223</v>
      </c>
    </row>
    <row r="25" spans="1:14" s="5" customFormat="1" ht="48" customHeight="1">
      <c r="A25" s="2">
        <v>21</v>
      </c>
      <c r="B25" s="12">
        <v>2563890143</v>
      </c>
      <c r="C25" s="12">
        <v>250371606039</v>
      </c>
      <c r="D25" s="13" t="s">
        <v>252</v>
      </c>
      <c r="E25" s="20" t="s">
        <v>25</v>
      </c>
      <c r="F25" s="15" t="s">
        <v>15</v>
      </c>
      <c r="G25" s="15" t="s">
        <v>85</v>
      </c>
      <c r="H25" s="3" t="s">
        <v>3</v>
      </c>
      <c r="I25" s="16" t="s">
        <v>3</v>
      </c>
      <c r="J25" s="16" t="s">
        <v>5</v>
      </c>
      <c r="K25" s="16" t="s">
        <v>1517</v>
      </c>
      <c r="L25" s="16" t="s">
        <v>4</v>
      </c>
      <c r="M25" s="11" t="s">
        <v>1517</v>
      </c>
      <c r="N25" s="4">
        <v>0</v>
      </c>
    </row>
    <row r="26" spans="1:14" s="5" customFormat="1" ht="48" customHeight="1">
      <c r="A26" s="2">
        <v>22</v>
      </c>
      <c r="B26" s="12">
        <v>2563890241</v>
      </c>
      <c r="C26" s="12">
        <v>250371606041</v>
      </c>
      <c r="D26" s="13" t="s">
        <v>253</v>
      </c>
      <c r="E26" s="20" t="s">
        <v>25</v>
      </c>
      <c r="F26" s="15" t="s">
        <v>15</v>
      </c>
      <c r="G26" s="15" t="s">
        <v>85</v>
      </c>
      <c r="H26" s="3" t="s">
        <v>5</v>
      </c>
      <c r="I26" s="16" t="s">
        <v>6</v>
      </c>
      <c r="J26" s="16" t="s">
        <v>3</v>
      </c>
      <c r="K26" s="16" t="s">
        <v>6</v>
      </c>
      <c r="L26" s="16" t="s">
        <v>4</v>
      </c>
      <c r="M26" s="11" t="s">
        <v>17</v>
      </c>
      <c r="N26" s="4">
        <v>6.2777777777777777</v>
      </c>
    </row>
    <row r="27" spans="1:14" s="5" customFormat="1" ht="48" customHeight="1">
      <c r="A27" s="2">
        <v>23</v>
      </c>
      <c r="B27" s="12">
        <v>2563890246</v>
      </c>
      <c r="C27" s="12">
        <v>250371606044</v>
      </c>
      <c r="D27" s="13" t="s">
        <v>254</v>
      </c>
      <c r="E27" s="20" t="s">
        <v>25</v>
      </c>
      <c r="F27" s="15" t="s">
        <v>15</v>
      </c>
      <c r="G27" s="15" t="s">
        <v>85</v>
      </c>
      <c r="H27" s="3" t="s">
        <v>2</v>
      </c>
      <c r="I27" s="16" t="s">
        <v>8</v>
      </c>
      <c r="J27" s="16" t="s">
        <v>3</v>
      </c>
      <c r="K27" s="16" t="s">
        <v>2</v>
      </c>
      <c r="L27" s="16" t="s">
        <v>3</v>
      </c>
      <c r="M27" s="11" t="s">
        <v>17</v>
      </c>
      <c r="N27" s="4">
        <v>8.7222222222222214</v>
      </c>
    </row>
    <row r="28" spans="1:14" s="5" customFormat="1" ht="48" customHeight="1">
      <c r="A28" s="2">
        <v>24</v>
      </c>
      <c r="B28" s="12">
        <v>2563890109</v>
      </c>
      <c r="C28" s="12">
        <v>250371606045</v>
      </c>
      <c r="D28" s="13" t="s">
        <v>255</v>
      </c>
      <c r="E28" s="20" t="s">
        <v>25</v>
      </c>
      <c r="F28" s="15" t="s">
        <v>15</v>
      </c>
      <c r="G28" s="15" t="s">
        <v>85</v>
      </c>
      <c r="H28" s="3" t="s">
        <v>3</v>
      </c>
      <c r="I28" s="16" t="s">
        <v>5</v>
      </c>
      <c r="J28" s="16" t="s">
        <v>3</v>
      </c>
      <c r="K28" s="16" t="s">
        <v>11</v>
      </c>
      <c r="L28" s="16" t="s">
        <v>4</v>
      </c>
      <c r="M28" s="11" t="s">
        <v>17</v>
      </c>
      <c r="N28" s="4">
        <v>6.5555555555555554</v>
      </c>
    </row>
    <row r="29" spans="1:14" s="5" customFormat="1" ht="48" customHeight="1">
      <c r="A29" s="2">
        <v>25</v>
      </c>
      <c r="B29" s="12">
        <v>2563890199</v>
      </c>
      <c r="C29" s="12">
        <v>250371606047</v>
      </c>
      <c r="D29" s="13" t="s">
        <v>256</v>
      </c>
      <c r="E29" s="20" t="s">
        <v>25</v>
      </c>
      <c r="F29" s="15" t="s">
        <v>15</v>
      </c>
      <c r="G29" s="15" t="s">
        <v>85</v>
      </c>
      <c r="H29" s="3" t="s">
        <v>4</v>
      </c>
      <c r="I29" s="16" t="s">
        <v>6</v>
      </c>
      <c r="J29" s="16" t="s">
        <v>3</v>
      </c>
      <c r="K29" s="16" t="s">
        <v>6</v>
      </c>
      <c r="L29" s="16" t="s">
        <v>5</v>
      </c>
      <c r="M29" s="11" t="s">
        <v>17</v>
      </c>
      <c r="N29" s="4">
        <v>6.2222222222222223</v>
      </c>
    </row>
    <row r="30" spans="1:14" s="5" customFormat="1" ht="48" customHeight="1">
      <c r="A30" s="2">
        <v>26</v>
      </c>
      <c r="B30" s="12">
        <v>2563890248</v>
      </c>
      <c r="C30" s="12">
        <v>250371606048</v>
      </c>
      <c r="D30" s="13" t="s">
        <v>257</v>
      </c>
      <c r="E30" s="20" t="s">
        <v>25</v>
      </c>
      <c r="F30" s="15" t="s">
        <v>15</v>
      </c>
      <c r="G30" s="15" t="s">
        <v>85</v>
      </c>
      <c r="H30" s="3" t="s">
        <v>5</v>
      </c>
      <c r="I30" s="16" t="s">
        <v>4</v>
      </c>
      <c r="J30" s="16" t="s">
        <v>5</v>
      </c>
      <c r="K30" s="16" t="s">
        <v>6</v>
      </c>
      <c r="L30" s="16" t="s">
        <v>5</v>
      </c>
      <c r="M30" s="11" t="s">
        <v>17</v>
      </c>
      <c r="N30" s="4">
        <v>5.9444444444444446</v>
      </c>
    </row>
    <row r="31" spans="1:14" s="5" customFormat="1" ht="48" customHeight="1">
      <c r="A31" s="2">
        <v>27</v>
      </c>
      <c r="B31" s="12">
        <v>2563890159</v>
      </c>
      <c r="C31" s="12">
        <v>250371606049</v>
      </c>
      <c r="D31" s="13" t="s">
        <v>258</v>
      </c>
      <c r="E31" s="20" t="s">
        <v>25</v>
      </c>
      <c r="F31" s="15" t="s">
        <v>15</v>
      </c>
      <c r="G31" s="15" t="s">
        <v>85</v>
      </c>
      <c r="H31" s="3" t="s">
        <v>3</v>
      </c>
      <c r="I31" s="16" t="s">
        <v>2</v>
      </c>
      <c r="J31" s="16" t="s">
        <v>4</v>
      </c>
      <c r="K31" s="16" t="s">
        <v>7</v>
      </c>
      <c r="L31" s="16" t="s">
        <v>4</v>
      </c>
      <c r="M31" s="11" t="s">
        <v>7</v>
      </c>
      <c r="N31" s="4">
        <v>0</v>
      </c>
    </row>
    <row r="32" spans="1:14" s="5" customFormat="1" ht="48" customHeight="1">
      <c r="A32" s="2">
        <v>28</v>
      </c>
      <c r="B32" s="12">
        <v>2563890054</v>
      </c>
      <c r="C32" s="12">
        <v>250371606051</v>
      </c>
      <c r="D32" s="13" t="s">
        <v>259</v>
      </c>
      <c r="E32" s="20" t="s">
        <v>25</v>
      </c>
      <c r="F32" s="15" t="s">
        <v>15</v>
      </c>
      <c r="G32" s="15" t="s">
        <v>85</v>
      </c>
      <c r="H32" s="3" t="s">
        <v>4</v>
      </c>
      <c r="I32" s="16" t="s">
        <v>3</v>
      </c>
      <c r="J32" s="16" t="s">
        <v>4</v>
      </c>
      <c r="K32" s="16" t="s">
        <v>4</v>
      </c>
      <c r="L32" s="16" t="s">
        <v>4</v>
      </c>
      <c r="M32" s="11" t="s">
        <v>17</v>
      </c>
      <c r="N32" s="4">
        <v>7.166666666666667</v>
      </c>
    </row>
    <row r="33" spans="1:14" s="5" customFormat="1" ht="48" customHeight="1">
      <c r="A33" s="2">
        <v>29</v>
      </c>
      <c r="B33" s="12">
        <v>2563890185</v>
      </c>
      <c r="C33" s="12">
        <v>250371606052</v>
      </c>
      <c r="D33" s="13" t="s">
        <v>260</v>
      </c>
      <c r="E33" s="20" t="s">
        <v>25</v>
      </c>
      <c r="F33" s="15" t="s">
        <v>15</v>
      </c>
      <c r="G33" s="15" t="s">
        <v>85</v>
      </c>
      <c r="H33" s="3" t="s">
        <v>4</v>
      </c>
      <c r="I33" s="16" t="s">
        <v>4</v>
      </c>
      <c r="J33" s="16" t="s">
        <v>4</v>
      </c>
      <c r="K33" s="16" t="s">
        <v>5</v>
      </c>
      <c r="L33" s="16" t="s">
        <v>3</v>
      </c>
      <c r="M33" s="11" t="s">
        <v>17</v>
      </c>
      <c r="N33" s="4">
        <v>7</v>
      </c>
    </row>
  </sheetData>
  <autoFilter ref="A3:N33">
    <filterColumn colId="6"/>
    <filterColumn colId="12"/>
  </autoFilter>
  <mergeCells count="10">
    <mergeCell ref="A1:N1"/>
    <mergeCell ref="A2:N2"/>
    <mergeCell ref="A3:A4"/>
    <mergeCell ref="B3:B4"/>
    <mergeCell ref="C3:C4"/>
    <mergeCell ref="D3:D4"/>
    <mergeCell ref="E3:E4"/>
    <mergeCell ref="F3:F4"/>
    <mergeCell ref="G3:G4"/>
    <mergeCell ref="N3:N4"/>
  </mergeCells>
  <printOptions horizontalCentered="1"/>
  <pageMargins left="0.53" right="0.48" top="0.31" bottom="0.44" header="0.22" footer="0.3"/>
  <pageSetup paperSize="8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>
  <sheetPr filterMode="1"/>
  <dimension ref="A1:P110"/>
  <sheetViews>
    <sheetView topLeftCell="A44" zoomScale="85" zoomScaleNormal="85" workbookViewId="0">
      <selection activeCell="L39" sqref="L39"/>
    </sheetView>
  </sheetViews>
  <sheetFormatPr defaultRowHeight="15"/>
  <cols>
    <col min="1" max="1" width="6.5703125" style="6" bestFit="1" customWidth="1"/>
    <col min="2" max="2" width="16.28515625" style="6" customWidth="1"/>
    <col min="3" max="3" width="18.28515625" style="6" bestFit="1" customWidth="1"/>
    <col min="4" max="4" width="44.5703125" style="6" customWidth="1"/>
    <col min="5" max="5" width="12.140625" style="9" customWidth="1"/>
    <col min="6" max="7" width="13.42578125" style="6" customWidth="1"/>
    <col min="8" max="8" width="17.85546875" style="6" customWidth="1"/>
    <col min="9" max="9" width="18.5703125" style="6" customWidth="1"/>
    <col min="10" max="10" width="18.85546875" style="6" customWidth="1"/>
    <col min="11" max="15" width="17.85546875" style="6" customWidth="1"/>
    <col min="16" max="16" width="8.5703125" style="7" bestFit="1" customWidth="1"/>
    <col min="17" max="16384" width="9.140625" style="6"/>
  </cols>
  <sheetData>
    <row r="1" spans="1:16" s="8" customFormat="1" ht="127.5" customHeight="1">
      <c r="A1" s="53" t="s">
        <v>1</v>
      </c>
      <c r="B1" s="53" t="s">
        <v>16</v>
      </c>
      <c r="C1" s="53" t="s">
        <v>12</v>
      </c>
      <c r="D1" s="53" t="s">
        <v>13</v>
      </c>
      <c r="E1" s="53" t="s">
        <v>14</v>
      </c>
      <c r="F1" s="53" t="s">
        <v>0</v>
      </c>
      <c r="G1" s="53" t="s">
        <v>31</v>
      </c>
      <c r="H1" s="1" t="s">
        <v>78</v>
      </c>
      <c r="I1" s="1" t="s">
        <v>79</v>
      </c>
      <c r="J1" s="1" t="s">
        <v>80</v>
      </c>
      <c r="K1" s="1" t="s">
        <v>391</v>
      </c>
      <c r="L1" s="1" t="s">
        <v>392</v>
      </c>
      <c r="M1" s="1" t="s">
        <v>393</v>
      </c>
      <c r="N1" s="1" t="s">
        <v>394</v>
      </c>
      <c r="O1" s="1" t="s">
        <v>10</v>
      </c>
      <c r="P1" s="55" t="s">
        <v>9</v>
      </c>
    </row>
    <row r="2" spans="1:16" s="8" customFormat="1" ht="29.25" hidden="1" customHeight="1">
      <c r="A2" s="54"/>
      <c r="B2" s="54"/>
      <c r="C2" s="54"/>
      <c r="D2" s="54"/>
      <c r="E2" s="54"/>
      <c r="F2" s="54"/>
      <c r="G2" s="54"/>
      <c r="H2" s="10">
        <v>3</v>
      </c>
      <c r="I2" s="10">
        <v>3</v>
      </c>
      <c r="J2" s="10">
        <v>4</v>
      </c>
      <c r="K2" s="10">
        <v>3</v>
      </c>
      <c r="L2" s="10">
        <v>3</v>
      </c>
      <c r="M2" s="10">
        <v>1</v>
      </c>
      <c r="N2" s="10">
        <v>1</v>
      </c>
      <c r="O2" s="10">
        <f>SUM(H2:N2)</f>
        <v>18</v>
      </c>
      <c r="P2" s="56"/>
    </row>
    <row r="3" spans="1:16" s="5" customFormat="1" ht="42" customHeight="1">
      <c r="A3" s="2">
        <v>1</v>
      </c>
      <c r="B3" s="17">
        <v>2558720150</v>
      </c>
      <c r="C3" s="17">
        <v>250371611001</v>
      </c>
      <c r="D3" s="18" t="s">
        <v>395</v>
      </c>
      <c r="E3" s="17" t="s">
        <v>22</v>
      </c>
      <c r="F3" s="19" t="s">
        <v>15</v>
      </c>
      <c r="G3" s="19" t="s">
        <v>34</v>
      </c>
      <c r="H3" s="20" t="s">
        <v>2</v>
      </c>
      <c r="I3" s="20" t="s">
        <v>2</v>
      </c>
      <c r="J3" s="20" t="s">
        <v>4</v>
      </c>
      <c r="K3" s="20" t="s">
        <v>2</v>
      </c>
      <c r="L3" s="20" t="s">
        <v>2</v>
      </c>
      <c r="M3" s="20" t="s">
        <v>2</v>
      </c>
      <c r="N3" s="20" t="s">
        <v>8</v>
      </c>
      <c r="O3" s="11" t="s">
        <v>17</v>
      </c>
      <c r="P3" s="4">
        <v>8.6111111111111107</v>
      </c>
    </row>
    <row r="4" spans="1:16" s="5" customFormat="1" ht="42" customHeight="1">
      <c r="A4" s="2">
        <v>2</v>
      </c>
      <c r="B4" s="17">
        <v>2558720226</v>
      </c>
      <c r="C4" s="17">
        <v>250371611003</v>
      </c>
      <c r="D4" s="18" t="s">
        <v>396</v>
      </c>
      <c r="E4" s="17" t="s">
        <v>22</v>
      </c>
      <c r="F4" s="19" t="s">
        <v>15</v>
      </c>
      <c r="G4" s="19" t="s">
        <v>34</v>
      </c>
      <c r="H4" s="20" t="s">
        <v>2</v>
      </c>
      <c r="I4" s="20" t="s">
        <v>2</v>
      </c>
      <c r="J4" s="20" t="s">
        <v>3</v>
      </c>
      <c r="K4" s="20" t="s">
        <v>2</v>
      </c>
      <c r="L4" s="20" t="s">
        <v>3</v>
      </c>
      <c r="M4" s="20" t="s">
        <v>2</v>
      </c>
      <c r="N4" s="20" t="s">
        <v>8</v>
      </c>
      <c r="O4" s="11" t="s">
        <v>17</v>
      </c>
      <c r="P4" s="4">
        <v>8.6666666666666661</v>
      </c>
    </row>
    <row r="5" spans="1:16" s="5" customFormat="1" ht="42" customHeight="1">
      <c r="A5" s="2">
        <v>3</v>
      </c>
      <c r="B5" s="17">
        <v>2558720133</v>
      </c>
      <c r="C5" s="17">
        <v>250371611005</v>
      </c>
      <c r="D5" s="18" t="s">
        <v>397</v>
      </c>
      <c r="E5" s="17" t="s">
        <v>22</v>
      </c>
      <c r="F5" s="19" t="s">
        <v>15</v>
      </c>
      <c r="G5" s="19" t="s">
        <v>34</v>
      </c>
      <c r="H5" s="20" t="s">
        <v>3</v>
      </c>
      <c r="I5" s="20" t="s">
        <v>8</v>
      </c>
      <c r="J5" s="20" t="s">
        <v>8</v>
      </c>
      <c r="K5" s="20" t="s">
        <v>2</v>
      </c>
      <c r="L5" s="20" t="s">
        <v>8</v>
      </c>
      <c r="M5" s="20" t="s">
        <v>8</v>
      </c>
      <c r="N5" s="20" t="s">
        <v>8</v>
      </c>
      <c r="O5" s="11" t="s">
        <v>17</v>
      </c>
      <c r="P5" s="4">
        <v>9.5</v>
      </c>
    </row>
    <row r="6" spans="1:16" s="5" customFormat="1" ht="42" customHeight="1">
      <c r="A6" s="2">
        <v>4</v>
      </c>
      <c r="B6" s="17">
        <v>2558720141</v>
      </c>
      <c r="C6" s="17">
        <v>250371611006</v>
      </c>
      <c r="D6" s="18" t="s">
        <v>398</v>
      </c>
      <c r="E6" s="17" t="s">
        <v>22</v>
      </c>
      <c r="F6" s="19" t="s">
        <v>15</v>
      </c>
      <c r="G6" s="19" t="s">
        <v>34</v>
      </c>
      <c r="H6" s="20" t="s">
        <v>2</v>
      </c>
      <c r="I6" s="20" t="s">
        <v>8</v>
      </c>
      <c r="J6" s="20" t="s">
        <v>3</v>
      </c>
      <c r="K6" s="20" t="s">
        <v>3</v>
      </c>
      <c r="L6" s="20" t="s">
        <v>8</v>
      </c>
      <c r="M6" s="20" t="s">
        <v>8</v>
      </c>
      <c r="N6" s="20" t="s">
        <v>8</v>
      </c>
      <c r="O6" s="11" t="s">
        <v>17</v>
      </c>
      <c r="P6" s="4">
        <v>9.0555555555555554</v>
      </c>
    </row>
    <row r="7" spans="1:16" s="5" customFormat="1" ht="42" customHeight="1">
      <c r="A7" s="2">
        <v>5</v>
      </c>
      <c r="B7" s="17">
        <v>2558720259</v>
      </c>
      <c r="C7" s="17">
        <v>250371611007</v>
      </c>
      <c r="D7" s="18" t="s">
        <v>399</v>
      </c>
      <c r="E7" s="17" t="s">
        <v>22</v>
      </c>
      <c r="F7" s="19" t="s">
        <v>15</v>
      </c>
      <c r="G7" s="19" t="s">
        <v>34</v>
      </c>
      <c r="H7" s="20" t="s">
        <v>3</v>
      </c>
      <c r="I7" s="20" t="s">
        <v>2</v>
      </c>
      <c r="J7" s="20" t="s">
        <v>2</v>
      </c>
      <c r="K7" s="20" t="s">
        <v>3</v>
      </c>
      <c r="L7" s="20" t="s">
        <v>3</v>
      </c>
      <c r="M7" s="20" t="s">
        <v>8</v>
      </c>
      <c r="N7" s="20" t="s">
        <v>8</v>
      </c>
      <c r="O7" s="11" t="s">
        <v>17</v>
      </c>
      <c r="P7" s="4">
        <v>8.6111111111111107</v>
      </c>
    </row>
    <row r="8" spans="1:16" s="5" customFormat="1" ht="42" customHeight="1">
      <c r="A8" s="2">
        <v>6</v>
      </c>
      <c r="B8" s="17">
        <v>2558720050</v>
      </c>
      <c r="C8" s="17">
        <v>250371611009</v>
      </c>
      <c r="D8" s="18" t="s">
        <v>400</v>
      </c>
      <c r="E8" s="17" t="s">
        <v>22</v>
      </c>
      <c r="F8" s="19" t="s">
        <v>15</v>
      </c>
      <c r="G8" s="19" t="s">
        <v>34</v>
      </c>
      <c r="H8" s="20" t="s">
        <v>6</v>
      </c>
      <c r="I8" s="20" t="s">
        <v>6</v>
      </c>
      <c r="J8" s="20" t="s">
        <v>5</v>
      </c>
      <c r="K8" s="20" t="s">
        <v>5</v>
      </c>
      <c r="L8" s="20" t="s">
        <v>11</v>
      </c>
      <c r="M8" s="20" t="s">
        <v>2</v>
      </c>
      <c r="N8" s="20" t="s">
        <v>2</v>
      </c>
      <c r="O8" s="11" t="s">
        <v>17</v>
      </c>
      <c r="P8" s="4">
        <v>5.666666666666667</v>
      </c>
    </row>
    <row r="9" spans="1:16" s="5" customFormat="1" ht="42" hidden="1" customHeight="1">
      <c r="A9" s="2">
        <v>7</v>
      </c>
      <c r="B9" s="17">
        <v>2558720257</v>
      </c>
      <c r="C9" s="17">
        <v>250371611010</v>
      </c>
      <c r="D9" s="18" t="s">
        <v>401</v>
      </c>
      <c r="E9" s="17" t="s">
        <v>22</v>
      </c>
      <c r="F9" s="19" t="s">
        <v>15</v>
      </c>
      <c r="G9" s="19" t="s">
        <v>34</v>
      </c>
      <c r="H9" s="20" t="s">
        <v>7</v>
      </c>
      <c r="I9" s="20" t="s">
        <v>11</v>
      </c>
      <c r="J9" s="20" t="s">
        <v>7</v>
      </c>
      <c r="K9" s="20" t="s">
        <v>4</v>
      </c>
      <c r="L9" s="20" t="s">
        <v>11</v>
      </c>
      <c r="M9" s="20" t="s">
        <v>2</v>
      </c>
      <c r="N9" s="20" t="s">
        <v>2</v>
      </c>
      <c r="O9" s="11" t="s">
        <v>7</v>
      </c>
      <c r="P9" s="4">
        <v>0</v>
      </c>
    </row>
    <row r="10" spans="1:16" s="5" customFormat="1" ht="42" customHeight="1">
      <c r="A10" s="2">
        <v>8</v>
      </c>
      <c r="B10" s="17">
        <v>2558720002</v>
      </c>
      <c r="C10" s="17">
        <v>250371611011</v>
      </c>
      <c r="D10" s="18" t="s">
        <v>402</v>
      </c>
      <c r="E10" s="17" t="s">
        <v>22</v>
      </c>
      <c r="F10" s="19" t="s">
        <v>15</v>
      </c>
      <c r="G10" s="19" t="s">
        <v>34</v>
      </c>
      <c r="H10" s="20" t="s">
        <v>5</v>
      </c>
      <c r="I10" s="20" t="s">
        <v>3</v>
      </c>
      <c r="J10" s="20" t="s">
        <v>3</v>
      </c>
      <c r="K10" s="20" t="s">
        <v>11</v>
      </c>
      <c r="L10" s="20" t="s">
        <v>4</v>
      </c>
      <c r="M10" s="20" t="s">
        <v>2</v>
      </c>
      <c r="N10" s="20" t="s">
        <v>2</v>
      </c>
      <c r="O10" s="11" t="s">
        <v>17</v>
      </c>
      <c r="P10" s="4">
        <v>6.9444444444444446</v>
      </c>
    </row>
    <row r="11" spans="1:16" s="5" customFormat="1" ht="42" customHeight="1">
      <c r="A11" s="2">
        <v>9</v>
      </c>
      <c r="B11" s="17">
        <v>2558720052</v>
      </c>
      <c r="C11" s="17">
        <v>250371611015</v>
      </c>
      <c r="D11" s="18" t="s">
        <v>403</v>
      </c>
      <c r="E11" s="17" t="s">
        <v>22</v>
      </c>
      <c r="F11" s="19" t="s">
        <v>15</v>
      </c>
      <c r="G11" s="19" t="s">
        <v>34</v>
      </c>
      <c r="H11" s="20" t="s">
        <v>4</v>
      </c>
      <c r="I11" s="20" t="s">
        <v>3</v>
      </c>
      <c r="J11" s="20" t="s">
        <v>4</v>
      </c>
      <c r="K11" s="20" t="s">
        <v>4</v>
      </c>
      <c r="L11" s="20" t="s">
        <v>11</v>
      </c>
      <c r="M11" s="20" t="s">
        <v>2</v>
      </c>
      <c r="N11" s="20" t="s">
        <v>2</v>
      </c>
      <c r="O11" s="11" t="s">
        <v>17</v>
      </c>
      <c r="P11" s="4">
        <v>6.8888888888888893</v>
      </c>
    </row>
    <row r="12" spans="1:16" s="5" customFormat="1" ht="42" customHeight="1">
      <c r="A12" s="2">
        <v>10</v>
      </c>
      <c r="B12" s="17">
        <v>2558720080</v>
      </c>
      <c r="C12" s="17">
        <v>250371611016</v>
      </c>
      <c r="D12" s="18" t="s">
        <v>404</v>
      </c>
      <c r="E12" s="17" t="s">
        <v>22</v>
      </c>
      <c r="F12" s="19" t="s">
        <v>15</v>
      </c>
      <c r="G12" s="19" t="s">
        <v>34</v>
      </c>
      <c r="H12" s="20" t="s">
        <v>6</v>
      </c>
      <c r="I12" s="20" t="s">
        <v>2</v>
      </c>
      <c r="J12" s="20" t="s">
        <v>4</v>
      </c>
      <c r="K12" s="20" t="s">
        <v>4</v>
      </c>
      <c r="L12" s="20" t="s">
        <v>5</v>
      </c>
      <c r="M12" s="20" t="s">
        <v>2</v>
      </c>
      <c r="N12" s="20" t="s">
        <v>2</v>
      </c>
      <c r="O12" s="11" t="s">
        <v>17</v>
      </c>
      <c r="P12" s="4">
        <v>7.0555555555555554</v>
      </c>
    </row>
    <row r="13" spans="1:16" s="5" customFormat="1" ht="42" customHeight="1">
      <c r="A13" s="2">
        <v>11</v>
      </c>
      <c r="B13" s="17">
        <v>2558720076</v>
      </c>
      <c r="C13" s="17">
        <v>250371611017</v>
      </c>
      <c r="D13" s="18" t="s">
        <v>405</v>
      </c>
      <c r="E13" s="17" t="s">
        <v>22</v>
      </c>
      <c r="F13" s="19" t="s">
        <v>15</v>
      </c>
      <c r="G13" s="19" t="s">
        <v>34</v>
      </c>
      <c r="H13" s="20" t="s">
        <v>3</v>
      </c>
      <c r="I13" s="20" t="s">
        <v>5</v>
      </c>
      <c r="J13" s="20" t="s">
        <v>4</v>
      </c>
      <c r="K13" s="20" t="s">
        <v>3</v>
      </c>
      <c r="L13" s="20" t="s">
        <v>5</v>
      </c>
      <c r="M13" s="20" t="s">
        <v>2</v>
      </c>
      <c r="N13" s="20" t="s">
        <v>2</v>
      </c>
      <c r="O13" s="11" t="s">
        <v>17</v>
      </c>
      <c r="P13" s="4">
        <v>7.2222222222222223</v>
      </c>
    </row>
    <row r="14" spans="1:16" s="5" customFormat="1" ht="42" customHeight="1">
      <c r="A14" s="2">
        <v>12</v>
      </c>
      <c r="B14" s="17">
        <v>2558720040</v>
      </c>
      <c r="C14" s="17">
        <v>250371611018</v>
      </c>
      <c r="D14" s="18" t="s">
        <v>406</v>
      </c>
      <c r="E14" s="17" t="s">
        <v>22</v>
      </c>
      <c r="F14" s="19" t="s">
        <v>15</v>
      </c>
      <c r="G14" s="19" t="s">
        <v>34</v>
      </c>
      <c r="H14" s="20" t="s">
        <v>6</v>
      </c>
      <c r="I14" s="20" t="s">
        <v>6</v>
      </c>
      <c r="J14" s="20" t="s">
        <v>11</v>
      </c>
      <c r="K14" s="20" t="s">
        <v>11</v>
      </c>
      <c r="L14" s="20" t="s">
        <v>11</v>
      </c>
      <c r="M14" s="20" t="s">
        <v>3</v>
      </c>
      <c r="N14" s="20" t="s">
        <v>3</v>
      </c>
      <c r="O14" s="11" t="s">
        <v>17</v>
      </c>
      <c r="P14" s="4">
        <v>4.7777777777777777</v>
      </c>
    </row>
    <row r="15" spans="1:16" s="5" customFormat="1" ht="42" customHeight="1">
      <c r="A15" s="2">
        <v>13</v>
      </c>
      <c r="B15" s="17">
        <v>2558720028</v>
      </c>
      <c r="C15" s="17">
        <v>250371611019</v>
      </c>
      <c r="D15" s="18" t="s">
        <v>407</v>
      </c>
      <c r="E15" s="17" t="s">
        <v>22</v>
      </c>
      <c r="F15" s="19" t="s">
        <v>15</v>
      </c>
      <c r="G15" s="19" t="s">
        <v>34</v>
      </c>
      <c r="H15" s="20" t="s">
        <v>3</v>
      </c>
      <c r="I15" s="20" t="s">
        <v>2</v>
      </c>
      <c r="J15" s="20" t="s">
        <v>4</v>
      </c>
      <c r="K15" s="20" t="s">
        <v>3</v>
      </c>
      <c r="L15" s="20" t="s">
        <v>3</v>
      </c>
      <c r="M15" s="20" t="s">
        <v>2</v>
      </c>
      <c r="N15" s="20" t="s">
        <v>2</v>
      </c>
      <c r="O15" s="11" t="s">
        <v>17</v>
      </c>
      <c r="P15" s="4">
        <v>8.0555555555555554</v>
      </c>
    </row>
    <row r="16" spans="1:16" s="5" customFormat="1" ht="42" customHeight="1">
      <c r="A16" s="2">
        <v>14</v>
      </c>
      <c r="B16" s="17">
        <v>2558720139</v>
      </c>
      <c r="C16" s="17">
        <v>250371611020</v>
      </c>
      <c r="D16" s="18" t="s">
        <v>408</v>
      </c>
      <c r="E16" s="17" t="s">
        <v>22</v>
      </c>
      <c r="F16" s="19" t="s">
        <v>15</v>
      </c>
      <c r="G16" s="19" t="s">
        <v>34</v>
      </c>
      <c r="H16" s="20" t="s">
        <v>3</v>
      </c>
      <c r="I16" s="20" t="s">
        <v>5</v>
      </c>
      <c r="J16" s="20" t="s">
        <v>4</v>
      </c>
      <c r="K16" s="20" t="s">
        <v>4</v>
      </c>
      <c r="L16" s="20" t="s">
        <v>3</v>
      </c>
      <c r="M16" s="20" t="s">
        <v>2</v>
      </c>
      <c r="N16" s="20" t="s">
        <v>2</v>
      </c>
      <c r="O16" s="11" t="s">
        <v>17</v>
      </c>
      <c r="P16" s="4">
        <v>7.3888888888888893</v>
      </c>
    </row>
    <row r="17" spans="1:16" s="5" customFormat="1" ht="42" customHeight="1">
      <c r="A17" s="2">
        <v>15</v>
      </c>
      <c r="B17" s="17">
        <v>2558720169</v>
      </c>
      <c r="C17" s="17">
        <v>250371611021</v>
      </c>
      <c r="D17" s="18" t="s">
        <v>409</v>
      </c>
      <c r="E17" s="17" t="s">
        <v>22</v>
      </c>
      <c r="F17" s="19" t="s">
        <v>15</v>
      </c>
      <c r="G17" s="19" t="s">
        <v>34</v>
      </c>
      <c r="H17" s="20" t="s">
        <v>4</v>
      </c>
      <c r="I17" s="20" t="s">
        <v>4</v>
      </c>
      <c r="J17" s="20" t="s">
        <v>3</v>
      </c>
      <c r="K17" s="20" t="s">
        <v>3</v>
      </c>
      <c r="L17" s="20" t="s">
        <v>4</v>
      </c>
      <c r="M17" s="20" t="s">
        <v>2</v>
      </c>
      <c r="N17" s="20" t="s">
        <v>2</v>
      </c>
      <c r="O17" s="11" t="s">
        <v>17</v>
      </c>
      <c r="P17" s="4">
        <v>7.6111111111111107</v>
      </c>
    </row>
    <row r="18" spans="1:16" s="5" customFormat="1" ht="42" customHeight="1">
      <c r="A18" s="2">
        <v>16</v>
      </c>
      <c r="B18" s="17">
        <v>2558720118</v>
      </c>
      <c r="C18" s="17">
        <v>250371611022</v>
      </c>
      <c r="D18" s="18" t="s">
        <v>410</v>
      </c>
      <c r="E18" s="17" t="s">
        <v>22</v>
      </c>
      <c r="F18" s="19" t="s">
        <v>15</v>
      </c>
      <c r="G18" s="19" t="s">
        <v>34</v>
      </c>
      <c r="H18" s="20" t="s">
        <v>2</v>
      </c>
      <c r="I18" s="20" t="s">
        <v>4</v>
      </c>
      <c r="J18" s="20" t="s">
        <v>2</v>
      </c>
      <c r="K18" s="20" t="s">
        <v>3</v>
      </c>
      <c r="L18" s="20" t="s">
        <v>2</v>
      </c>
      <c r="M18" s="20" t="s">
        <v>8</v>
      </c>
      <c r="N18" s="20" t="s">
        <v>8</v>
      </c>
      <c r="O18" s="11" t="s">
        <v>17</v>
      </c>
      <c r="P18" s="4">
        <v>8.6111111111111107</v>
      </c>
    </row>
    <row r="19" spans="1:16" s="5" customFormat="1" ht="42" hidden="1" customHeight="1">
      <c r="A19" s="2">
        <v>17</v>
      </c>
      <c r="B19" s="17">
        <v>2558720267</v>
      </c>
      <c r="C19" s="17">
        <v>250371611023</v>
      </c>
      <c r="D19" s="18" t="s">
        <v>411</v>
      </c>
      <c r="E19" s="17" t="s">
        <v>22</v>
      </c>
      <c r="F19" s="19" t="s">
        <v>15</v>
      </c>
      <c r="G19" s="19" t="s">
        <v>34</v>
      </c>
      <c r="H19" s="20" t="s">
        <v>6</v>
      </c>
      <c r="I19" s="20" t="s">
        <v>7</v>
      </c>
      <c r="J19" s="20" t="s">
        <v>5</v>
      </c>
      <c r="K19" s="20" t="s">
        <v>6</v>
      </c>
      <c r="L19" s="20" t="s">
        <v>4</v>
      </c>
      <c r="M19" s="20" t="s">
        <v>3</v>
      </c>
      <c r="N19" s="20" t="s">
        <v>3</v>
      </c>
      <c r="O19" s="11" t="s">
        <v>7</v>
      </c>
      <c r="P19" s="4">
        <v>0</v>
      </c>
    </row>
    <row r="20" spans="1:16" s="5" customFormat="1" ht="42" customHeight="1">
      <c r="A20" s="2">
        <v>18</v>
      </c>
      <c r="B20" s="17">
        <v>2558720142</v>
      </c>
      <c r="C20" s="17">
        <v>250371611024</v>
      </c>
      <c r="D20" s="18" t="s">
        <v>412</v>
      </c>
      <c r="E20" s="17" t="s">
        <v>22</v>
      </c>
      <c r="F20" s="19" t="s">
        <v>15</v>
      </c>
      <c r="G20" s="19" t="s">
        <v>34</v>
      </c>
      <c r="H20" s="20" t="s">
        <v>3</v>
      </c>
      <c r="I20" s="20" t="s">
        <v>6</v>
      </c>
      <c r="J20" s="20" t="s">
        <v>2</v>
      </c>
      <c r="K20" s="20" t="s">
        <v>3</v>
      </c>
      <c r="L20" s="20" t="s">
        <v>3</v>
      </c>
      <c r="M20" s="20" t="s">
        <v>2</v>
      </c>
      <c r="N20" s="20" t="s">
        <v>8</v>
      </c>
      <c r="O20" s="11" t="s">
        <v>17</v>
      </c>
      <c r="P20" s="4">
        <v>7.8888888888888893</v>
      </c>
    </row>
    <row r="21" spans="1:16" s="5" customFormat="1" ht="42" customHeight="1">
      <c r="A21" s="2">
        <v>19</v>
      </c>
      <c r="B21" s="17">
        <v>2558720044</v>
      </c>
      <c r="C21" s="17">
        <v>250371611025</v>
      </c>
      <c r="D21" s="18" t="s">
        <v>413</v>
      </c>
      <c r="E21" s="17" t="s">
        <v>22</v>
      </c>
      <c r="F21" s="19" t="s">
        <v>15</v>
      </c>
      <c r="G21" s="19" t="s">
        <v>34</v>
      </c>
      <c r="H21" s="20" t="s">
        <v>4</v>
      </c>
      <c r="I21" s="20" t="s">
        <v>3</v>
      </c>
      <c r="J21" s="20" t="s">
        <v>4</v>
      </c>
      <c r="K21" s="20" t="s">
        <v>3</v>
      </c>
      <c r="L21" s="20" t="s">
        <v>3</v>
      </c>
      <c r="M21" s="20" t="s">
        <v>2</v>
      </c>
      <c r="N21" s="20" t="s">
        <v>8</v>
      </c>
      <c r="O21" s="11" t="s">
        <v>17</v>
      </c>
      <c r="P21" s="4">
        <v>7.7777777777777777</v>
      </c>
    </row>
    <row r="22" spans="1:16" s="5" customFormat="1" ht="42" customHeight="1">
      <c r="A22" s="2">
        <v>20</v>
      </c>
      <c r="B22" s="17">
        <v>2558720081</v>
      </c>
      <c r="C22" s="17">
        <v>250371611026</v>
      </c>
      <c r="D22" s="18" t="s">
        <v>414</v>
      </c>
      <c r="E22" s="17" t="s">
        <v>22</v>
      </c>
      <c r="F22" s="19" t="s">
        <v>15</v>
      </c>
      <c r="G22" s="19" t="s">
        <v>34</v>
      </c>
      <c r="H22" s="20" t="s">
        <v>3</v>
      </c>
      <c r="I22" s="20" t="s">
        <v>3</v>
      </c>
      <c r="J22" s="20" t="s">
        <v>2</v>
      </c>
      <c r="K22" s="20" t="s">
        <v>4</v>
      </c>
      <c r="L22" s="20" t="s">
        <v>3</v>
      </c>
      <c r="M22" s="20" t="s">
        <v>2</v>
      </c>
      <c r="N22" s="20" t="s">
        <v>2</v>
      </c>
      <c r="O22" s="11" t="s">
        <v>17</v>
      </c>
      <c r="P22" s="4">
        <v>8.1666666666666661</v>
      </c>
    </row>
    <row r="23" spans="1:16" s="5" customFormat="1" ht="42" customHeight="1">
      <c r="A23" s="2">
        <v>21</v>
      </c>
      <c r="B23" s="17">
        <v>2558720251</v>
      </c>
      <c r="C23" s="17">
        <v>250371611027</v>
      </c>
      <c r="D23" s="18" t="s">
        <v>415</v>
      </c>
      <c r="E23" s="17" t="s">
        <v>22</v>
      </c>
      <c r="F23" s="19" t="s">
        <v>15</v>
      </c>
      <c r="G23" s="19" t="s">
        <v>34</v>
      </c>
      <c r="H23" s="20" t="s">
        <v>4</v>
      </c>
      <c r="I23" s="20" t="s">
        <v>4</v>
      </c>
      <c r="J23" s="20" t="s">
        <v>5</v>
      </c>
      <c r="K23" s="20" t="s">
        <v>4</v>
      </c>
      <c r="L23" s="20" t="s">
        <v>3</v>
      </c>
      <c r="M23" s="20" t="s">
        <v>2</v>
      </c>
      <c r="N23" s="20" t="s">
        <v>8</v>
      </c>
      <c r="O23" s="11" t="s">
        <v>17</v>
      </c>
      <c r="P23" s="4">
        <v>7.2222222222222223</v>
      </c>
    </row>
    <row r="24" spans="1:16" s="5" customFormat="1" ht="42" customHeight="1">
      <c r="A24" s="2">
        <v>22</v>
      </c>
      <c r="B24" s="17">
        <v>2558720275</v>
      </c>
      <c r="C24" s="17">
        <v>250371611029</v>
      </c>
      <c r="D24" s="18" t="s">
        <v>416</v>
      </c>
      <c r="E24" s="17" t="s">
        <v>22</v>
      </c>
      <c r="F24" s="19" t="s">
        <v>15</v>
      </c>
      <c r="G24" s="19" t="s">
        <v>34</v>
      </c>
      <c r="H24" s="20" t="s">
        <v>4</v>
      </c>
      <c r="I24" s="20" t="s">
        <v>5</v>
      </c>
      <c r="J24" s="20" t="s">
        <v>11</v>
      </c>
      <c r="K24" s="20" t="s">
        <v>6</v>
      </c>
      <c r="L24" s="20" t="s">
        <v>6</v>
      </c>
      <c r="M24" s="20" t="s">
        <v>2</v>
      </c>
      <c r="N24" s="20" t="s">
        <v>2</v>
      </c>
      <c r="O24" s="11" t="s">
        <v>17</v>
      </c>
      <c r="P24" s="4">
        <v>5.7222222222222223</v>
      </c>
    </row>
    <row r="25" spans="1:16" s="5" customFormat="1" ht="42" customHeight="1">
      <c r="A25" s="2">
        <v>23</v>
      </c>
      <c r="B25" s="17">
        <v>2558720012</v>
      </c>
      <c r="C25" s="17">
        <v>250371611030</v>
      </c>
      <c r="D25" s="18" t="s">
        <v>417</v>
      </c>
      <c r="E25" s="17" t="s">
        <v>22</v>
      </c>
      <c r="F25" s="19" t="s">
        <v>15</v>
      </c>
      <c r="G25" s="19" t="s">
        <v>34</v>
      </c>
      <c r="H25" s="20" t="s">
        <v>3</v>
      </c>
      <c r="I25" s="20" t="s">
        <v>3</v>
      </c>
      <c r="J25" s="20" t="s">
        <v>2</v>
      </c>
      <c r="K25" s="20" t="s">
        <v>3</v>
      </c>
      <c r="L25" s="20" t="s">
        <v>2</v>
      </c>
      <c r="M25" s="20" t="s">
        <v>2</v>
      </c>
      <c r="N25" s="20" t="s">
        <v>8</v>
      </c>
      <c r="O25" s="11" t="s">
        <v>17</v>
      </c>
      <c r="P25" s="4">
        <v>8.5555555555555554</v>
      </c>
    </row>
    <row r="26" spans="1:16" s="5" customFormat="1" ht="42" customHeight="1">
      <c r="A26" s="2">
        <v>24</v>
      </c>
      <c r="B26" s="17">
        <v>2558720077</v>
      </c>
      <c r="C26" s="17">
        <v>250371611031</v>
      </c>
      <c r="D26" s="18" t="s">
        <v>418</v>
      </c>
      <c r="E26" s="17" t="s">
        <v>22</v>
      </c>
      <c r="F26" s="19" t="s">
        <v>15</v>
      </c>
      <c r="G26" s="19" t="s">
        <v>34</v>
      </c>
      <c r="H26" s="20" t="s">
        <v>3</v>
      </c>
      <c r="I26" s="20" t="s">
        <v>4</v>
      </c>
      <c r="J26" s="20" t="s">
        <v>4</v>
      </c>
      <c r="K26" s="20" t="s">
        <v>4</v>
      </c>
      <c r="L26" s="20" t="s">
        <v>4</v>
      </c>
      <c r="M26" s="20" t="s">
        <v>2</v>
      </c>
      <c r="N26" s="20" t="s">
        <v>8</v>
      </c>
      <c r="O26" s="11" t="s">
        <v>17</v>
      </c>
      <c r="P26" s="4">
        <v>7.4444444444444446</v>
      </c>
    </row>
    <row r="27" spans="1:16" s="5" customFormat="1" ht="42" hidden="1" customHeight="1">
      <c r="A27" s="2">
        <v>25</v>
      </c>
      <c r="B27" s="17">
        <v>2558720162</v>
      </c>
      <c r="C27" s="17">
        <v>250371611033</v>
      </c>
      <c r="D27" s="18" t="s">
        <v>419</v>
      </c>
      <c r="E27" s="17" t="s">
        <v>22</v>
      </c>
      <c r="F27" s="19" t="s">
        <v>15</v>
      </c>
      <c r="G27" s="19" t="s">
        <v>34</v>
      </c>
      <c r="H27" s="20" t="s">
        <v>11</v>
      </c>
      <c r="I27" s="20" t="s">
        <v>11</v>
      </c>
      <c r="J27" s="20" t="s">
        <v>11</v>
      </c>
      <c r="K27" s="20" t="s">
        <v>7</v>
      </c>
      <c r="L27" s="20" t="s">
        <v>7</v>
      </c>
      <c r="M27" s="20" t="s">
        <v>1516</v>
      </c>
      <c r="N27" s="20" t="s">
        <v>1516</v>
      </c>
      <c r="O27" s="11" t="s">
        <v>1516</v>
      </c>
      <c r="P27" s="4">
        <v>0</v>
      </c>
    </row>
    <row r="28" spans="1:16" s="5" customFormat="1" ht="42" customHeight="1">
      <c r="A28" s="2">
        <v>26</v>
      </c>
      <c r="B28" s="17">
        <v>2558720183</v>
      </c>
      <c r="C28" s="17">
        <v>250371611036</v>
      </c>
      <c r="D28" s="18" t="s">
        <v>420</v>
      </c>
      <c r="E28" s="17" t="s">
        <v>22</v>
      </c>
      <c r="F28" s="19" t="s">
        <v>15</v>
      </c>
      <c r="G28" s="19" t="s">
        <v>34</v>
      </c>
      <c r="H28" s="20" t="s">
        <v>4</v>
      </c>
      <c r="I28" s="20" t="s">
        <v>4</v>
      </c>
      <c r="J28" s="20" t="s">
        <v>2</v>
      </c>
      <c r="K28" s="20" t="s">
        <v>3</v>
      </c>
      <c r="L28" s="20" t="s">
        <v>4</v>
      </c>
      <c r="M28" s="20" t="s">
        <v>2</v>
      </c>
      <c r="N28" s="20" t="s">
        <v>2</v>
      </c>
      <c r="O28" s="11" t="s">
        <v>17</v>
      </c>
      <c r="P28" s="4">
        <v>7.833333333333333</v>
      </c>
    </row>
    <row r="29" spans="1:16" s="5" customFormat="1" ht="42" customHeight="1">
      <c r="A29" s="2">
        <v>27</v>
      </c>
      <c r="B29" s="17">
        <v>2558720135</v>
      </c>
      <c r="C29" s="17">
        <v>250371611038</v>
      </c>
      <c r="D29" s="18" t="s">
        <v>421</v>
      </c>
      <c r="E29" s="17" t="s">
        <v>22</v>
      </c>
      <c r="F29" s="19" t="s">
        <v>15</v>
      </c>
      <c r="G29" s="19" t="s">
        <v>34</v>
      </c>
      <c r="H29" s="20" t="s">
        <v>4</v>
      </c>
      <c r="I29" s="20" t="s">
        <v>3</v>
      </c>
      <c r="J29" s="20" t="s">
        <v>2</v>
      </c>
      <c r="K29" s="20" t="s">
        <v>3</v>
      </c>
      <c r="L29" s="20" t="s">
        <v>3</v>
      </c>
      <c r="M29" s="20" t="s">
        <v>2</v>
      </c>
      <c r="N29" s="20" t="s">
        <v>8</v>
      </c>
      <c r="O29" s="11" t="s">
        <v>17</v>
      </c>
      <c r="P29" s="4">
        <v>8.2222222222222214</v>
      </c>
    </row>
    <row r="30" spans="1:16" s="5" customFormat="1" ht="42" customHeight="1">
      <c r="A30" s="2">
        <v>28</v>
      </c>
      <c r="B30" s="17">
        <v>2558720248</v>
      </c>
      <c r="C30" s="17">
        <v>250371611041</v>
      </c>
      <c r="D30" s="18" t="s">
        <v>422</v>
      </c>
      <c r="E30" s="17" t="s">
        <v>22</v>
      </c>
      <c r="F30" s="19" t="s">
        <v>15</v>
      </c>
      <c r="G30" s="19" t="s">
        <v>34</v>
      </c>
      <c r="H30" s="20" t="s">
        <v>4</v>
      </c>
      <c r="I30" s="20" t="s">
        <v>6</v>
      </c>
      <c r="J30" s="20" t="s">
        <v>6</v>
      </c>
      <c r="K30" s="20" t="s">
        <v>5</v>
      </c>
      <c r="L30" s="20" t="s">
        <v>4</v>
      </c>
      <c r="M30" s="20" t="s">
        <v>2</v>
      </c>
      <c r="N30" s="20" t="s">
        <v>2</v>
      </c>
      <c r="O30" s="11" t="s">
        <v>17</v>
      </c>
      <c r="P30" s="4">
        <v>6.2777777777777777</v>
      </c>
    </row>
    <row r="31" spans="1:16" s="5" customFormat="1" ht="42" customHeight="1">
      <c r="A31" s="2">
        <v>29</v>
      </c>
      <c r="B31" s="17">
        <v>2558720070</v>
      </c>
      <c r="C31" s="17">
        <v>250371611042</v>
      </c>
      <c r="D31" s="18" t="s">
        <v>423</v>
      </c>
      <c r="E31" s="17" t="s">
        <v>22</v>
      </c>
      <c r="F31" s="19" t="s">
        <v>15</v>
      </c>
      <c r="G31" s="19" t="s">
        <v>34</v>
      </c>
      <c r="H31" s="20" t="s">
        <v>4</v>
      </c>
      <c r="I31" s="20" t="s">
        <v>3</v>
      </c>
      <c r="J31" s="20" t="s">
        <v>2</v>
      </c>
      <c r="K31" s="20" t="s">
        <v>3</v>
      </c>
      <c r="L31" s="20" t="s">
        <v>3</v>
      </c>
      <c r="M31" s="20" t="s">
        <v>2</v>
      </c>
      <c r="N31" s="20" t="s">
        <v>8</v>
      </c>
      <c r="O31" s="11" t="s">
        <v>17</v>
      </c>
      <c r="P31" s="4">
        <v>8.2222222222222214</v>
      </c>
    </row>
    <row r="32" spans="1:16" s="5" customFormat="1" ht="42" customHeight="1">
      <c r="A32" s="2">
        <v>30</v>
      </c>
      <c r="B32" s="17">
        <v>2558720108</v>
      </c>
      <c r="C32" s="17">
        <v>250371611050</v>
      </c>
      <c r="D32" s="18" t="s">
        <v>424</v>
      </c>
      <c r="E32" s="17" t="s">
        <v>22</v>
      </c>
      <c r="F32" s="19" t="s">
        <v>15</v>
      </c>
      <c r="G32" s="19" t="s">
        <v>34</v>
      </c>
      <c r="H32" s="20" t="s">
        <v>11</v>
      </c>
      <c r="I32" s="20" t="s">
        <v>5</v>
      </c>
      <c r="J32" s="20" t="s">
        <v>3</v>
      </c>
      <c r="K32" s="20" t="s">
        <v>3</v>
      </c>
      <c r="L32" s="20" t="s">
        <v>4</v>
      </c>
      <c r="M32" s="20" t="s">
        <v>2</v>
      </c>
      <c r="N32" s="20" t="s">
        <v>2</v>
      </c>
      <c r="O32" s="11" t="s">
        <v>17</v>
      </c>
      <c r="P32" s="4">
        <v>6.9444444444444446</v>
      </c>
    </row>
    <row r="33" spans="1:16" s="5" customFormat="1" ht="42" customHeight="1">
      <c r="A33" s="2">
        <v>31</v>
      </c>
      <c r="B33" s="17">
        <v>2558720007</v>
      </c>
      <c r="C33" s="17">
        <v>250371611054</v>
      </c>
      <c r="D33" s="18" t="s">
        <v>425</v>
      </c>
      <c r="E33" s="17" t="s">
        <v>22</v>
      </c>
      <c r="F33" s="19" t="s">
        <v>15</v>
      </c>
      <c r="G33" s="19" t="s">
        <v>34</v>
      </c>
      <c r="H33" s="20" t="s">
        <v>8</v>
      </c>
      <c r="I33" s="20" t="s">
        <v>3</v>
      </c>
      <c r="J33" s="20" t="s">
        <v>2</v>
      </c>
      <c r="K33" s="20" t="s">
        <v>2</v>
      </c>
      <c r="L33" s="20" t="s">
        <v>8</v>
      </c>
      <c r="M33" s="20" t="s">
        <v>8</v>
      </c>
      <c r="N33" s="20" t="s">
        <v>8</v>
      </c>
      <c r="O33" s="11" t="s">
        <v>17</v>
      </c>
      <c r="P33" s="4">
        <v>9.2777777777777786</v>
      </c>
    </row>
    <row r="34" spans="1:16" s="5" customFormat="1" ht="42" customHeight="1">
      <c r="A34" s="2">
        <v>32</v>
      </c>
      <c r="B34" s="17">
        <v>2558720147</v>
      </c>
      <c r="C34" s="17">
        <v>250371611055</v>
      </c>
      <c r="D34" s="18" t="s">
        <v>426</v>
      </c>
      <c r="E34" s="17" t="s">
        <v>22</v>
      </c>
      <c r="F34" s="19" t="s">
        <v>15</v>
      </c>
      <c r="G34" s="19" t="s">
        <v>34</v>
      </c>
      <c r="H34" s="20" t="s">
        <v>2</v>
      </c>
      <c r="I34" s="20" t="s">
        <v>3</v>
      </c>
      <c r="J34" s="20" t="s">
        <v>3</v>
      </c>
      <c r="K34" s="20" t="s">
        <v>3</v>
      </c>
      <c r="L34" s="20" t="s">
        <v>2</v>
      </c>
      <c r="M34" s="20" t="s">
        <v>2</v>
      </c>
      <c r="N34" s="20" t="s">
        <v>8</v>
      </c>
      <c r="O34" s="11" t="s">
        <v>17</v>
      </c>
      <c r="P34" s="4">
        <v>8.5</v>
      </c>
    </row>
    <row r="35" spans="1:16" s="5" customFormat="1" ht="42" customHeight="1">
      <c r="A35" s="2">
        <v>33</v>
      </c>
      <c r="B35" s="17">
        <v>2558720215</v>
      </c>
      <c r="C35" s="17">
        <v>250371611060</v>
      </c>
      <c r="D35" s="18" t="s">
        <v>427</v>
      </c>
      <c r="E35" s="17" t="s">
        <v>22</v>
      </c>
      <c r="F35" s="19" t="s">
        <v>15</v>
      </c>
      <c r="G35" s="19" t="s">
        <v>34</v>
      </c>
      <c r="H35" s="20" t="s">
        <v>2</v>
      </c>
      <c r="I35" s="20" t="s">
        <v>3</v>
      </c>
      <c r="J35" s="20" t="s">
        <v>2</v>
      </c>
      <c r="K35" s="20" t="s">
        <v>3</v>
      </c>
      <c r="L35" s="20" t="s">
        <v>8</v>
      </c>
      <c r="M35" s="20" t="s">
        <v>8</v>
      </c>
      <c r="N35" s="20" t="s">
        <v>8</v>
      </c>
      <c r="O35" s="11" t="s">
        <v>17</v>
      </c>
      <c r="P35" s="4">
        <v>8.9444444444444446</v>
      </c>
    </row>
    <row r="36" spans="1:16" s="5" customFormat="1" ht="42" customHeight="1">
      <c r="A36" s="2">
        <v>34</v>
      </c>
      <c r="B36" s="17">
        <v>2558720172</v>
      </c>
      <c r="C36" s="17">
        <v>250371611062</v>
      </c>
      <c r="D36" s="18" t="s">
        <v>428</v>
      </c>
      <c r="E36" s="17" t="s">
        <v>22</v>
      </c>
      <c r="F36" s="19" t="s">
        <v>15</v>
      </c>
      <c r="G36" s="19" t="s">
        <v>34</v>
      </c>
      <c r="H36" s="20" t="s">
        <v>2</v>
      </c>
      <c r="I36" s="20" t="s">
        <v>3</v>
      </c>
      <c r="J36" s="20" t="s">
        <v>2</v>
      </c>
      <c r="K36" s="20" t="s">
        <v>3</v>
      </c>
      <c r="L36" s="20" t="s">
        <v>3</v>
      </c>
      <c r="M36" s="20" t="s">
        <v>8</v>
      </c>
      <c r="N36" s="20" t="s">
        <v>8</v>
      </c>
      <c r="O36" s="11" t="s">
        <v>17</v>
      </c>
      <c r="P36" s="4">
        <v>8.6111111111111107</v>
      </c>
    </row>
    <row r="37" spans="1:16" s="5" customFormat="1" ht="42" customHeight="1">
      <c r="A37" s="2">
        <v>35</v>
      </c>
      <c r="B37" s="17">
        <v>2558720096</v>
      </c>
      <c r="C37" s="17">
        <v>250371611064</v>
      </c>
      <c r="D37" s="18" t="s">
        <v>429</v>
      </c>
      <c r="E37" s="17" t="s">
        <v>22</v>
      </c>
      <c r="F37" s="19" t="s">
        <v>15</v>
      </c>
      <c r="G37" s="19" t="s">
        <v>34</v>
      </c>
      <c r="H37" s="20" t="s">
        <v>2</v>
      </c>
      <c r="I37" s="20" t="s">
        <v>3</v>
      </c>
      <c r="J37" s="20" t="s">
        <v>2</v>
      </c>
      <c r="K37" s="20" t="s">
        <v>3</v>
      </c>
      <c r="L37" s="20" t="s">
        <v>2</v>
      </c>
      <c r="M37" s="20" t="s">
        <v>2</v>
      </c>
      <c r="N37" s="20" t="s">
        <v>8</v>
      </c>
      <c r="O37" s="11" t="s">
        <v>17</v>
      </c>
      <c r="P37" s="4">
        <v>8.7222222222222214</v>
      </c>
    </row>
    <row r="38" spans="1:16" s="5" customFormat="1" ht="42" customHeight="1">
      <c r="A38" s="2">
        <v>36</v>
      </c>
      <c r="B38" s="17">
        <v>2558720119</v>
      </c>
      <c r="C38" s="17">
        <v>250371611065</v>
      </c>
      <c r="D38" s="18" t="s">
        <v>430</v>
      </c>
      <c r="E38" s="17" t="s">
        <v>22</v>
      </c>
      <c r="F38" s="19" t="s">
        <v>15</v>
      </c>
      <c r="G38" s="19" t="s">
        <v>34</v>
      </c>
      <c r="H38" s="20" t="s">
        <v>3</v>
      </c>
      <c r="I38" s="20" t="s">
        <v>4</v>
      </c>
      <c r="J38" s="20" t="s">
        <v>4</v>
      </c>
      <c r="K38" s="20" t="s">
        <v>5</v>
      </c>
      <c r="L38" s="20" t="s">
        <v>3</v>
      </c>
      <c r="M38" s="20" t="s">
        <v>2</v>
      </c>
      <c r="N38" s="20" t="s">
        <v>2</v>
      </c>
      <c r="O38" s="11" t="s">
        <v>17</v>
      </c>
      <c r="P38" s="4">
        <v>7.3888888888888893</v>
      </c>
    </row>
    <row r="39" spans="1:16" s="5" customFormat="1" ht="42" customHeight="1">
      <c r="A39" s="2">
        <v>37</v>
      </c>
      <c r="B39" s="17">
        <v>2558720177</v>
      </c>
      <c r="C39" s="17">
        <v>250371611067</v>
      </c>
      <c r="D39" s="18" t="s">
        <v>431</v>
      </c>
      <c r="E39" s="17" t="s">
        <v>22</v>
      </c>
      <c r="F39" s="19" t="s">
        <v>15</v>
      </c>
      <c r="G39" s="19" t="s">
        <v>34</v>
      </c>
      <c r="H39" s="20" t="s">
        <v>5</v>
      </c>
      <c r="I39" s="20" t="s">
        <v>6</v>
      </c>
      <c r="J39" s="20" t="s">
        <v>11</v>
      </c>
      <c r="K39" s="20" t="s">
        <v>11</v>
      </c>
      <c r="L39" s="20" t="s">
        <v>5</v>
      </c>
      <c r="M39" s="20" t="s">
        <v>2</v>
      </c>
      <c r="N39" s="20" t="s">
        <v>2</v>
      </c>
      <c r="O39" s="11" t="s">
        <v>17</v>
      </c>
      <c r="P39" s="4">
        <v>5.3888888888888893</v>
      </c>
    </row>
    <row r="40" spans="1:16" s="5" customFormat="1" ht="42" customHeight="1">
      <c r="A40" s="2">
        <v>38</v>
      </c>
      <c r="B40" s="17">
        <v>2558720223</v>
      </c>
      <c r="C40" s="17">
        <v>250371611068</v>
      </c>
      <c r="D40" s="18" t="s">
        <v>432</v>
      </c>
      <c r="E40" s="17" t="s">
        <v>22</v>
      </c>
      <c r="F40" s="19" t="s">
        <v>15</v>
      </c>
      <c r="G40" s="19" t="s">
        <v>34</v>
      </c>
      <c r="H40" s="20" t="s">
        <v>2</v>
      </c>
      <c r="I40" s="20" t="s">
        <v>3</v>
      </c>
      <c r="J40" s="20" t="s">
        <v>2</v>
      </c>
      <c r="K40" s="20" t="s">
        <v>2</v>
      </c>
      <c r="L40" s="20" t="s">
        <v>3</v>
      </c>
      <c r="M40" s="20" t="s">
        <v>2</v>
      </c>
      <c r="N40" s="20" t="s">
        <v>8</v>
      </c>
      <c r="O40" s="11" t="s">
        <v>17</v>
      </c>
      <c r="P40" s="4">
        <v>8.7222222222222214</v>
      </c>
    </row>
    <row r="41" spans="1:16" s="5" customFormat="1" ht="42" customHeight="1">
      <c r="A41" s="2">
        <v>39</v>
      </c>
      <c r="B41" s="17">
        <v>2558720175</v>
      </c>
      <c r="C41" s="17">
        <v>250371611070</v>
      </c>
      <c r="D41" s="18" t="s">
        <v>433</v>
      </c>
      <c r="E41" s="17" t="s">
        <v>22</v>
      </c>
      <c r="F41" s="19" t="s">
        <v>15</v>
      </c>
      <c r="G41" s="19" t="s">
        <v>34</v>
      </c>
      <c r="H41" s="20" t="s">
        <v>4</v>
      </c>
      <c r="I41" s="20" t="s">
        <v>4</v>
      </c>
      <c r="J41" s="20" t="s">
        <v>3</v>
      </c>
      <c r="K41" s="20" t="s">
        <v>4</v>
      </c>
      <c r="L41" s="20" t="s">
        <v>4</v>
      </c>
      <c r="M41" s="20" t="s">
        <v>2</v>
      </c>
      <c r="N41" s="20" t="s">
        <v>2</v>
      </c>
      <c r="O41" s="11" t="s">
        <v>17</v>
      </c>
      <c r="P41" s="4">
        <v>7.4444444444444446</v>
      </c>
    </row>
    <row r="42" spans="1:16" s="5" customFormat="1" ht="42" customHeight="1">
      <c r="A42" s="2">
        <v>40</v>
      </c>
      <c r="B42" s="17">
        <v>2558720039</v>
      </c>
      <c r="C42" s="17">
        <v>250371611071</v>
      </c>
      <c r="D42" s="18" t="s">
        <v>434</v>
      </c>
      <c r="E42" s="17" t="s">
        <v>22</v>
      </c>
      <c r="F42" s="19" t="s">
        <v>15</v>
      </c>
      <c r="G42" s="19" t="s">
        <v>34</v>
      </c>
      <c r="H42" s="20" t="s">
        <v>4</v>
      </c>
      <c r="I42" s="20" t="s">
        <v>3</v>
      </c>
      <c r="J42" s="20" t="s">
        <v>3</v>
      </c>
      <c r="K42" s="20" t="s">
        <v>4</v>
      </c>
      <c r="L42" s="20" t="s">
        <v>2</v>
      </c>
      <c r="M42" s="20" t="s">
        <v>2</v>
      </c>
      <c r="N42" s="20" t="s">
        <v>2</v>
      </c>
      <c r="O42" s="11" t="s">
        <v>17</v>
      </c>
      <c r="P42" s="4">
        <v>7.9444444444444446</v>
      </c>
    </row>
    <row r="43" spans="1:16" s="5" customFormat="1" ht="42" customHeight="1">
      <c r="A43" s="2">
        <v>41</v>
      </c>
      <c r="B43" s="17">
        <v>2558720240</v>
      </c>
      <c r="C43" s="17">
        <v>250371611072</v>
      </c>
      <c r="D43" s="18" t="s">
        <v>435</v>
      </c>
      <c r="E43" s="17" t="s">
        <v>22</v>
      </c>
      <c r="F43" s="19" t="s">
        <v>15</v>
      </c>
      <c r="G43" s="19" t="s">
        <v>34</v>
      </c>
      <c r="H43" s="20" t="s">
        <v>3</v>
      </c>
      <c r="I43" s="20" t="s">
        <v>4</v>
      </c>
      <c r="J43" s="20" t="s">
        <v>4</v>
      </c>
      <c r="K43" s="20" t="s">
        <v>5</v>
      </c>
      <c r="L43" s="20" t="s">
        <v>4</v>
      </c>
      <c r="M43" s="20" t="s">
        <v>2</v>
      </c>
      <c r="N43" s="20" t="s">
        <v>8</v>
      </c>
      <c r="O43" s="11" t="s">
        <v>17</v>
      </c>
      <c r="P43" s="4">
        <v>7.2777777777777777</v>
      </c>
    </row>
    <row r="44" spans="1:16" s="5" customFormat="1" ht="42" customHeight="1">
      <c r="A44" s="2">
        <v>42</v>
      </c>
      <c r="B44" s="17">
        <v>2558720186</v>
      </c>
      <c r="C44" s="17">
        <v>250371611076</v>
      </c>
      <c r="D44" s="18" t="s">
        <v>436</v>
      </c>
      <c r="E44" s="17" t="s">
        <v>22</v>
      </c>
      <c r="F44" s="19" t="s">
        <v>15</v>
      </c>
      <c r="G44" s="19" t="s">
        <v>34</v>
      </c>
      <c r="H44" s="20" t="s">
        <v>3</v>
      </c>
      <c r="I44" s="20" t="s">
        <v>6</v>
      </c>
      <c r="J44" s="20" t="s">
        <v>4</v>
      </c>
      <c r="K44" s="20" t="s">
        <v>5</v>
      </c>
      <c r="L44" s="20" t="s">
        <v>5</v>
      </c>
      <c r="M44" s="20" t="s">
        <v>2</v>
      </c>
      <c r="N44" s="20" t="s">
        <v>2</v>
      </c>
      <c r="O44" s="11" t="s">
        <v>17</v>
      </c>
      <c r="P44" s="4">
        <v>6.7222222222222223</v>
      </c>
    </row>
    <row r="45" spans="1:16" s="5" customFormat="1" ht="42" customHeight="1">
      <c r="A45" s="2">
        <v>43</v>
      </c>
      <c r="B45" s="17">
        <v>2558720074</v>
      </c>
      <c r="C45" s="17">
        <v>250371611080</v>
      </c>
      <c r="D45" s="18" t="s">
        <v>437</v>
      </c>
      <c r="E45" s="17" t="s">
        <v>22</v>
      </c>
      <c r="F45" s="19" t="s">
        <v>15</v>
      </c>
      <c r="G45" s="19" t="s">
        <v>34</v>
      </c>
      <c r="H45" s="20" t="s">
        <v>3</v>
      </c>
      <c r="I45" s="20" t="s">
        <v>4</v>
      </c>
      <c r="J45" s="20" t="s">
        <v>4</v>
      </c>
      <c r="K45" s="20" t="s">
        <v>4</v>
      </c>
      <c r="L45" s="20" t="s">
        <v>4</v>
      </c>
      <c r="M45" s="20" t="s">
        <v>2</v>
      </c>
      <c r="N45" s="20" t="s">
        <v>2</v>
      </c>
      <c r="O45" s="11" t="s">
        <v>17</v>
      </c>
      <c r="P45" s="4">
        <v>7.3888888888888893</v>
      </c>
    </row>
    <row r="46" spans="1:16" s="5" customFormat="1" ht="42" customHeight="1">
      <c r="A46" s="2">
        <v>44</v>
      </c>
      <c r="B46" s="17">
        <v>2558720176</v>
      </c>
      <c r="C46" s="17">
        <v>250371611081</v>
      </c>
      <c r="D46" s="18" t="s">
        <v>438</v>
      </c>
      <c r="E46" s="17" t="s">
        <v>22</v>
      </c>
      <c r="F46" s="19" t="s">
        <v>15</v>
      </c>
      <c r="G46" s="19" t="s">
        <v>34</v>
      </c>
      <c r="H46" s="20" t="s">
        <v>8</v>
      </c>
      <c r="I46" s="20" t="s">
        <v>2</v>
      </c>
      <c r="J46" s="20" t="s">
        <v>8</v>
      </c>
      <c r="K46" s="20" t="s">
        <v>2</v>
      </c>
      <c r="L46" s="20" t="s">
        <v>8</v>
      </c>
      <c r="M46" s="20" t="s">
        <v>8</v>
      </c>
      <c r="N46" s="20" t="s">
        <v>8</v>
      </c>
      <c r="O46" s="11" t="s">
        <v>17</v>
      </c>
      <c r="P46" s="4">
        <v>9.6666666666666661</v>
      </c>
    </row>
    <row r="47" spans="1:16" s="5" customFormat="1" ht="42" customHeight="1">
      <c r="A47" s="2">
        <v>45</v>
      </c>
      <c r="B47" s="17">
        <v>2558720107</v>
      </c>
      <c r="C47" s="17">
        <v>250371611087</v>
      </c>
      <c r="D47" s="18" t="s">
        <v>439</v>
      </c>
      <c r="E47" s="17" t="s">
        <v>22</v>
      </c>
      <c r="F47" s="19" t="s">
        <v>15</v>
      </c>
      <c r="G47" s="19" t="s">
        <v>34</v>
      </c>
      <c r="H47" s="20" t="s">
        <v>3</v>
      </c>
      <c r="I47" s="20" t="s">
        <v>4</v>
      </c>
      <c r="J47" s="20" t="s">
        <v>4</v>
      </c>
      <c r="K47" s="20" t="s">
        <v>3</v>
      </c>
      <c r="L47" s="20" t="s">
        <v>3</v>
      </c>
      <c r="M47" s="20" t="s">
        <v>2</v>
      </c>
      <c r="N47" s="20" t="s">
        <v>8</v>
      </c>
      <c r="O47" s="11" t="s">
        <v>17</v>
      </c>
      <c r="P47" s="4">
        <v>7.7777777777777777</v>
      </c>
    </row>
    <row r="48" spans="1:16" s="5" customFormat="1" ht="42" customHeight="1">
      <c r="A48" s="2">
        <v>46</v>
      </c>
      <c r="B48" s="17">
        <v>2558720274</v>
      </c>
      <c r="C48" s="17">
        <v>250371611088</v>
      </c>
      <c r="D48" s="18" t="s">
        <v>440</v>
      </c>
      <c r="E48" s="17" t="s">
        <v>22</v>
      </c>
      <c r="F48" s="19" t="s">
        <v>15</v>
      </c>
      <c r="G48" s="19" t="s">
        <v>34</v>
      </c>
      <c r="H48" s="20" t="s">
        <v>5</v>
      </c>
      <c r="I48" s="20" t="s">
        <v>11</v>
      </c>
      <c r="J48" s="20" t="s">
        <v>11</v>
      </c>
      <c r="K48" s="20" t="s">
        <v>5</v>
      </c>
      <c r="L48" s="20" t="s">
        <v>5</v>
      </c>
      <c r="M48" s="20" t="s">
        <v>2</v>
      </c>
      <c r="N48" s="20" t="s">
        <v>2</v>
      </c>
      <c r="O48" s="11" t="s">
        <v>17</v>
      </c>
      <c r="P48" s="4">
        <v>5.5555555555555554</v>
      </c>
    </row>
    <row r="49" spans="1:16" s="5" customFormat="1" ht="42" customHeight="1">
      <c r="A49" s="2">
        <v>47</v>
      </c>
      <c r="B49" s="17">
        <v>2558720065</v>
      </c>
      <c r="C49" s="17">
        <v>250371611089</v>
      </c>
      <c r="D49" s="18" t="s">
        <v>441</v>
      </c>
      <c r="E49" s="17" t="s">
        <v>22</v>
      </c>
      <c r="F49" s="19" t="s">
        <v>15</v>
      </c>
      <c r="G49" s="19" t="s">
        <v>34</v>
      </c>
      <c r="H49" s="20" t="s">
        <v>2</v>
      </c>
      <c r="I49" s="20" t="s">
        <v>3</v>
      </c>
      <c r="J49" s="20" t="s">
        <v>2</v>
      </c>
      <c r="K49" s="20" t="s">
        <v>3</v>
      </c>
      <c r="L49" s="20" t="s">
        <v>4</v>
      </c>
      <c r="M49" s="20" t="s">
        <v>2</v>
      </c>
      <c r="N49" s="20" t="s">
        <v>8</v>
      </c>
      <c r="O49" s="11" t="s">
        <v>17</v>
      </c>
      <c r="P49" s="4">
        <v>8.3888888888888893</v>
      </c>
    </row>
    <row r="50" spans="1:16" s="5" customFormat="1" ht="42" customHeight="1">
      <c r="A50" s="2">
        <v>48</v>
      </c>
      <c r="B50" s="17">
        <v>2558720101</v>
      </c>
      <c r="C50" s="17">
        <v>250371611097</v>
      </c>
      <c r="D50" s="18" t="s">
        <v>442</v>
      </c>
      <c r="E50" s="17" t="s">
        <v>22</v>
      </c>
      <c r="F50" s="19" t="s">
        <v>15</v>
      </c>
      <c r="G50" s="19" t="s">
        <v>34</v>
      </c>
      <c r="H50" s="20" t="s">
        <v>2</v>
      </c>
      <c r="I50" s="20" t="s">
        <v>3</v>
      </c>
      <c r="J50" s="20" t="s">
        <v>2</v>
      </c>
      <c r="K50" s="20" t="s">
        <v>2</v>
      </c>
      <c r="L50" s="20" t="s">
        <v>2</v>
      </c>
      <c r="M50" s="20" t="s">
        <v>2</v>
      </c>
      <c r="N50" s="20" t="s">
        <v>8</v>
      </c>
      <c r="O50" s="11" t="s">
        <v>17</v>
      </c>
      <c r="P50" s="4">
        <v>8.8888888888888893</v>
      </c>
    </row>
    <row r="51" spans="1:16" s="5" customFormat="1" ht="42" customHeight="1">
      <c r="A51" s="2">
        <v>49</v>
      </c>
      <c r="B51" s="17">
        <v>2558720241</v>
      </c>
      <c r="C51" s="17">
        <v>250371611101</v>
      </c>
      <c r="D51" s="18" t="s">
        <v>443</v>
      </c>
      <c r="E51" s="17" t="s">
        <v>22</v>
      </c>
      <c r="F51" s="19" t="s">
        <v>15</v>
      </c>
      <c r="G51" s="19" t="s">
        <v>34</v>
      </c>
      <c r="H51" s="20" t="s">
        <v>2</v>
      </c>
      <c r="I51" s="20" t="s">
        <v>3</v>
      </c>
      <c r="J51" s="20" t="s">
        <v>2</v>
      </c>
      <c r="K51" s="20" t="s">
        <v>4</v>
      </c>
      <c r="L51" s="20" t="s">
        <v>2</v>
      </c>
      <c r="M51" s="20" t="s">
        <v>8</v>
      </c>
      <c r="N51" s="20" t="s">
        <v>8</v>
      </c>
      <c r="O51" s="11" t="s">
        <v>17</v>
      </c>
      <c r="P51" s="4">
        <v>8.6111111111111107</v>
      </c>
    </row>
    <row r="52" spans="1:16" s="5" customFormat="1" ht="42" customHeight="1">
      <c r="A52" s="2">
        <v>50</v>
      </c>
      <c r="B52" s="17">
        <v>2558720090</v>
      </c>
      <c r="C52" s="17">
        <v>250371611104</v>
      </c>
      <c r="D52" s="18" t="s">
        <v>444</v>
      </c>
      <c r="E52" s="17" t="s">
        <v>22</v>
      </c>
      <c r="F52" s="19" t="s">
        <v>15</v>
      </c>
      <c r="G52" s="19" t="s">
        <v>34</v>
      </c>
      <c r="H52" s="20" t="s">
        <v>2</v>
      </c>
      <c r="I52" s="20" t="s">
        <v>4</v>
      </c>
      <c r="J52" s="20" t="s">
        <v>3</v>
      </c>
      <c r="K52" s="20" t="s">
        <v>3</v>
      </c>
      <c r="L52" s="20" t="s">
        <v>2</v>
      </c>
      <c r="M52" s="20" t="s">
        <v>2</v>
      </c>
      <c r="N52" s="20" t="s">
        <v>2</v>
      </c>
      <c r="O52" s="11" t="s">
        <v>17</v>
      </c>
      <c r="P52" s="4">
        <v>8.2777777777777786</v>
      </c>
    </row>
    <row r="53" spans="1:16" s="5" customFormat="1" ht="42" customHeight="1">
      <c r="A53" s="2">
        <v>51</v>
      </c>
      <c r="B53" s="17">
        <v>2558720008</v>
      </c>
      <c r="C53" s="17">
        <v>250371611107</v>
      </c>
      <c r="D53" s="18" t="s">
        <v>445</v>
      </c>
      <c r="E53" s="17" t="s">
        <v>22</v>
      </c>
      <c r="F53" s="19" t="s">
        <v>15</v>
      </c>
      <c r="G53" s="19" t="s">
        <v>34</v>
      </c>
      <c r="H53" s="20" t="s">
        <v>2</v>
      </c>
      <c r="I53" s="20" t="s">
        <v>3</v>
      </c>
      <c r="J53" s="20" t="s">
        <v>8</v>
      </c>
      <c r="K53" s="20" t="s">
        <v>2</v>
      </c>
      <c r="L53" s="20" t="s">
        <v>2</v>
      </c>
      <c r="M53" s="20" t="s">
        <v>2</v>
      </c>
      <c r="N53" s="20" t="s">
        <v>2</v>
      </c>
      <c r="O53" s="11" t="s">
        <v>17</v>
      </c>
      <c r="P53" s="4">
        <v>9.0555555555555554</v>
      </c>
    </row>
    <row r="54" spans="1:16" s="5" customFormat="1" ht="42" customHeight="1">
      <c r="A54" s="2">
        <v>52</v>
      </c>
      <c r="B54" s="17">
        <v>2558720138</v>
      </c>
      <c r="C54" s="17">
        <v>250371611108</v>
      </c>
      <c r="D54" s="18" t="s">
        <v>446</v>
      </c>
      <c r="E54" s="17" t="s">
        <v>22</v>
      </c>
      <c r="F54" s="19" t="s">
        <v>15</v>
      </c>
      <c r="G54" s="19" t="s">
        <v>34</v>
      </c>
      <c r="H54" s="20" t="s">
        <v>2</v>
      </c>
      <c r="I54" s="20" t="s">
        <v>3</v>
      </c>
      <c r="J54" s="20" t="s">
        <v>2</v>
      </c>
      <c r="K54" s="20" t="s">
        <v>2</v>
      </c>
      <c r="L54" s="20" t="s">
        <v>3</v>
      </c>
      <c r="M54" s="20" t="s">
        <v>2</v>
      </c>
      <c r="N54" s="20" t="s">
        <v>8</v>
      </c>
      <c r="O54" s="11" t="s">
        <v>17</v>
      </c>
      <c r="P54" s="4">
        <v>8.7222222222222214</v>
      </c>
    </row>
    <row r="55" spans="1:16" s="5" customFormat="1" ht="42" hidden="1" customHeight="1">
      <c r="A55" s="2">
        <v>53</v>
      </c>
      <c r="B55" s="17">
        <v>2558720041</v>
      </c>
      <c r="C55" s="17">
        <v>250371611109</v>
      </c>
      <c r="D55" s="18" t="s">
        <v>447</v>
      </c>
      <c r="E55" s="17" t="s">
        <v>22</v>
      </c>
      <c r="F55" s="19" t="s">
        <v>15</v>
      </c>
      <c r="G55" s="19" t="s">
        <v>34</v>
      </c>
      <c r="H55" s="20" t="s">
        <v>1516</v>
      </c>
      <c r="I55" s="20" t="s">
        <v>1516</v>
      </c>
      <c r="J55" s="20" t="s">
        <v>1516</v>
      </c>
      <c r="K55" s="20" t="s">
        <v>11</v>
      </c>
      <c r="L55" s="20" t="s">
        <v>6</v>
      </c>
      <c r="M55" s="20" t="s">
        <v>2</v>
      </c>
      <c r="N55" s="20" t="s">
        <v>2</v>
      </c>
      <c r="O55" s="11" t="s">
        <v>1516</v>
      </c>
      <c r="P55" s="4">
        <v>0</v>
      </c>
    </row>
    <row r="56" spans="1:16" s="5" customFormat="1" ht="42" customHeight="1">
      <c r="A56" s="2">
        <v>54</v>
      </c>
      <c r="B56" s="17">
        <v>2558720244</v>
      </c>
      <c r="C56" s="17">
        <v>250371611110</v>
      </c>
      <c r="D56" s="18" t="s">
        <v>448</v>
      </c>
      <c r="E56" s="17" t="s">
        <v>22</v>
      </c>
      <c r="F56" s="19" t="s">
        <v>15</v>
      </c>
      <c r="G56" s="19" t="s">
        <v>34</v>
      </c>
      <c r="H56" s="20" t="s">
        <v>3</v>
      </c>
      <c r="I56" s="20" t="s">
        <v>4</v>
      </c>
      <c r="J56" s="20" t="s">
        <v>3</v>
      </c>
      <c r="K56" s="20" t="s">
        <v>2</v>
      </c>
      <c r="L56" s="20" t="s">
        <v>2</v>
      </c>
      <c r="M56" s="20" t="s">
        <v>2</v>
      </c>
      <c r="N56" s="20" t="s">
        <v>8</v>
      </c>
      <c r="O56" s="11" t="s">
        <v>17</v>
      </c>
      <c r="P56" s="4">
        <v>8.3333333333333339</v>
      </c>
    </row>
    <row r="57" spans="1:16" s="5" customFormat="1" ht="42" hidden="1" customHeight="1">
      <c r="A57" s="2">
        <v>55</v>
      </c>
      <c r="B57" s="17">
        <v>2558720266</v>
      </c>
      <c r="C57" s="17">
        <v>250371611111</v>
      </c>
      <c r="D57" s="18" t="s">
        <v>449</v>
      </c>
      <c r="E57" s="17" t="s">
        <v>22</v>
      </c>
      <c r="F57" s="19" t="s">
        <v>15</v>
      </c>
      <c r="G57" s="19" t="s">
        <v>34</v>
      </c>
      <c r="H57" s="20" t="s">
        <v>5</v>
      </c>
      <c r="I57" s="20" t="s">
        <v>7</v>
      </c>
      <c r="J57" s="20" t="s">
        <v>11</v>
      </c>
      <c r="K57" s="20" t="s">
        <v>11</v>
      </c>
      <c r="L57" s="20" t="s">
        <v>11</v>
      </c>
      <c r="M57" s="20" t="s">
        <v>3</v>
      </c>
      <c r="N57" s="20" t="s">
        <v>3</v>
      </c>
      <c r="O57" s="11" t="s">
        <v>7</v>
      </c>
      <c r="P57" s="4">
        <v>0</v>
      </c>
    </row>
    <row r="58" spans="1:16" s="5" customFormat="1" ht="42" customHeight="1">
      <c r="A58" s="2">
        <v>56</v>
      </c>
      <c r="B58" s="17">
        <v>2558720059</v>
      </c>
      <c r="C58" s="17">
        <v>250371611116</v>
      </c>
      <c r="D58" s="18" t="s">
        <v>450</v>
      </c>
      <c r="E58" s="17" t="s">
        <v>22</v>
      </c>
      <c r="F58" s="19" t="s">
        <v>15</v>
      </c>
      <c r="G58" s="19" t="s">
        <v>34</v>
      </c>
      <c r="H58" s="20" t="s">
        <v>3</v>
      </c>
      <c r="I58" s="20" t="s">
        <v>3</v>
      </c>
      <c r="J58" s="20" t="s">
        <v>4</v>
      </c>
      <c r="K58" s="20" t="s">
        <v>2</v>
      </c>
      <c r="L58" s="20" t="s">
        <v>4</v>
      </c>
      <c r="M58" s="20" t="s">
        <v>8</v>
      </c>
      <c r="N58" s="20" t="s">
        <v>8</v>
      </c>
      <c r="O58" s="11" t="s">
        <v>17</v>
      </c>
      <c r="P58" s="4">
        <v>8</v>
      </c>
    </row>
    <row r="59" spans="1:16" s="5" customFormat="1" ht="42" customHeight="1">
      <c r="A59" s="2">
        <v>57</v>
      </c>
      <c r="B59" s="17">
        <v>2558720182</v>
      </c>
      <c r="C59" s="17">
        <v>250371611117</v>
      </c>
      <c r="D59" s="18" t="s">
        <v>451</v>
      </c>
      <c r="E59" s="17" t="s">
        <v>22</v>
      </c>
      <c r="F59" s="19" t="s">
        <v>15</v>
      </c>
      <c r="G59" s="19" t="s">
        <v>34</v>
      </c>
      <c r="H59" s="20" t="s">
        <v>2</v>
      </c>
      <c r="I59" s="20" t="s">
        <v>3</v>
      </c>
      <c r="J59" s="20" t="s">
        <v>2</v>
      </c>
      <c r="K59" s="20" t="s">
        <v>3</v>
      </c>
      <c r="L59" s="20" t="s">
        <v>2</v>
      </c>
      <c r="M59" s="20" t="s">
        <v>2</v>
      </c>
      <c r="N59" s="20" t="s">
        <v>8</v>
      </c>
      <c r="O59" s="11" t="s">
        <v>17</v>
      </c>
      <c r="P59" s="4">
        <v>8.7222222222222214</v>
      </c>
    </row>
    <row r="60" spans="1:16" s="5" customFormat="1" ht="42" customHeight="1">
      <c r="A60" s="2">
        <v>58</v>
      </c>
      <c r="B60" s="17">
        <v>2558720195</v>
      </c>
      <c r="C60" s="17">
        <v>250371611123</v>
      </c>
      <c r="D60" s="18" t="s">
        <v>452</v>
      </c>
      <c r="E60" s="17" t="s">
        <v>22</v>
      </c>
      <c r="F60" s="19" t="s">
        <v>15</v>
      </c>
      <c r="G60" s="19" t="s">
        <v>34</v>
      </c>
      <c r="H60" s="20" t="s">
        <v>3</v>
      </c>
      <c r="I60" s="20" t="s">
        <v>4</v>
      </c>
      <c r="J60" s="20" t="s">
        <v>4</v>
      </c>
      <c r="K60" s="20" t="s">
        <v>4</v>
      </c>
      <c r="L60" s="20" t="s">
        <v>5</v>
      </c>
      <c r="M60" s="20" t="s">
        <v>3</v>
      </c>
      <c r="N60" s="20" t="s">
        <v>3</v>
      </c>
      <c r="O60" s="11" t="s">
        <v>17</v>
      </c>
      <c r="P60" s="4">
        <v>7.1111111111111107</v>
      </c>
    </row>
    <row r="61" spans="1:16" s="5" customFormat="1" ht="42" customHeight="1">
      <c r="A61" s="2">
        <v>59</v>
      </c>
      <c r="B61" s="17">
        <v>2558720166</v>
      </c>
      <c r="C61" s="17">
        <v>250371611124</v>
      </c>
      <c r="D61" s="18" t="s">
        <v>453</v>
      </c>
      <c r="E61" s="17" t="s">
        <v>22</v>
      </c>
      <c r="F61" s="19" t="s">
        <v>15</v>
      </c>
      <c r="G61" s="19" t="s">
        <v>34</v>
      </c>
      <c r="H61" s="20" t="s">
        <v>3</v>
      </c>
      <c r="I61" s="20" t="s">
        <v>11</v>
      </c>
      <c r="J61" s="20" t="s">
        <v>4</v>
      </c>
      <c r="K61" s="20" t="s">
        <v>4</v>
      </c>
      <c r="L61" s="20" t="s">
        <v>5</v>
      </c>
      <c r="M61" s="20" t="s">
        <v>2</v>
      </c>
      <c r="N61" s="20" t="s">
        <v>2</v>
      </c>
      <c r="O61" s="11" t="s">
        <v>17</v>
      </c>
      <c r="P61" s="4">
        <v>6.7222222222222223</v>
      </c>
    </row>
    <row r="62" spans="1:16" s="5" customFormat="1" ht="42" customHeight="1">
      <c r="A62" s="2">
        <v>60</v>
      </c>
      <c r="B62" s="17">
        <v>2558720019</v>
      </c>
      <c r="C62" s="17">
        <v>250371611125</v>
      </c>
      <c r="D62" s="18" t="s">
        <v>454</v>
      </c>
      <c r="E62" s="17" t="s">
        <v>22</v>
      </c>
      <c r="F62" s="19" t="s">
        <v>15</v>
      </c>
      <c r="G62" s="19" t="s">
        <v>34</v>
      </c>
      <c r="H62" s="20" t="s">
        <v>3</v>
      </c>
      <c r="I62" s="20" t="s">
        <v>3</v>
      </c>
      <c r="J62" s="20" t="s">
        <v>2</v>
      </c>
      <c r="K62" s="20" t="s">
        <v>3</v>
      </c>
      <c r="L62" s="20" t="s">
        <v>3</v>
      </c>
      <c r="M62" s="20" t="s">
        <v>8</v>
      </c>
      <c r="N62" s="20" t="s">
        <v>2</v>
      </c>
      <c r="O62" s="11" t="s">
        <v>17</v>
      </c>
      <c r="P62" s="4">
        <v>8.39</v>
      </c>
    </row>
    <row r="63" spans="1:16" s="5" customFormat="1" ht="42" customHeight="1">
      <c r="A63" s="2">
        <v>61</v>
      </c>
      <c r="B63" s="17">
        <v>2558720018</v>
      </c>
      <c r="C63" s="17">
        <v>250371611126</v>
      </c>
      <c r="D63" s="18" t="s">
        <v>455</v>
      </c>
      <c r="E63" s="17" t="s">
        <v>22</v>
      </c>
      <c r="F63" s="19" t="s">
        <v>15</v>
      </c>
      <c r="G63" s="19" t="s">
        <v>34</v>
      </c>
      <c r="H63" s="20" t="s">
        <v>3</v>
      </c>
      <c r="I63" s="20" t="s">
        <v>8</v>
      </c>
      <c r="J63" s="20" t="s">
        <v>3</v>
      </c>
      <c r="K63" s="20" t="s">
        <v>3</v>
      </c>
      <c r="L63" s="20" t="s">
        <v>4</v>
      </c>
      <c r="M63" s="20" t="s">
        <v>2</v>
      </c>
      <c r="N63" s="20" t="s">
        <v>8</v>
      </c>
      <c r="O63" s="11" t="s">
        <v>17</v>
      </c>
      <c r="P63" s="4">
        <v>8.3333333333333339</v>
      </c>
    </row>
    <row r="64" spans="1:16" s="5" customFormat="1" ht="42" hidden="1" customHeight="1">
      <c r="A64" s="2">
        <v>62</v>
      </c>
      <c r="B64" s="17">
        <v>2558720256</v>
      </c>
      <c r="C64" s="17">
        <v>250371611128</v>
      </c>
      <c r="D64" s="18" t="s">
        <v>456</v>
      </c>
      <c r="E64" s="17" t="s">
        <v>22</v>
      </c>
      <c r="F64" s="19" t="s">
        <v>15</v>
      </c>
      <c r="G64" s="19" t="s">
        <v>34</v>
      </c>
      <c r="H64" s="20" t="s">
        <v>1516</v>
      </c>
      <c r="I64" s="20" t="s">
        <v>1516</v>
      </c>
      <c r="J64" s="20" t="s">
        <v>1516</v>
      </c>
      <c r="K64" s="20" t="s">
        <v>1516</v>
      </c>
      <c r="L64" s="20" t="s">
        <v>1516</v>
      </c>
      <c r="M64" s="20" t="s">
        <v>1516</v>
      </c>
      <c r="N64" s="20" t="s">
        <v>1516</v>
      </c>
      <c r="O64" s="11" t="s">
        <v>1516</v>
      </c>
      <c r="P64" s="4">
        <v>0</v>
      </c>
    </row>
    <row r="65" spans="1:16" s="5" customFormat="1" ht="42" customHeight="1">
      <c r="A65" s="2">
        <v>63</v>
      </c>
      <c r="B65" s="17">
        <v>2558720245</v>
      </c>
      <c r="C65" s="17">
        <v>250371611129</v>
      </c>
      <c r="D65" s="18" t="s">
        <v>457</v>
      </c>
      <c r="E65" s="17" t="s">
        <v>22</v>
      </c>
      <c r="F65" s="19" t="s">
        <v>15</v>
      </c>
      <c r="G65" s="19" t="s">
        <v>34</v>
      </c>
      <c r="H65" s="20" t="s">
        <v>2</v>
      </c>
      <c r="I65" s="20" t="s">
        <v>3</v>
      </c>
      <c r="J65" s="20" t="s">
        <v>2</v>
      </c>
      <c r="K65" s="20" t="s">
        <v>2</v>
      </c>
      <c r="L65" s="20" t="s">
        <v>4</v>
      </c>
      <c r="M65" s="20" t="s">
        <v>8</v>
      </c>
      <c r="N65" s="20" t="s">
        <v>8</v>
      </c>
      <c r="O65" s="11" t="s">
        <v>17</v>
      </c>
      <c r="P65" s="4">
        <v>8.6111111111111107</v>
      </c>
    </row>
    <row r="66" spans="1:16" s="5" customFormat="1" ht="42" hidden="1" customHeight="1">
      <c r="A66" s="2">
        <v>64</v>
      </c>
      <c r="B66" s="17">
        <v>2558720232</v>
      </c>
      <c r="C66" s="17">
        <v>250371611130</v>
      </c>
      <c r="D66" s="18" t="s">
        <v>458</v>
      </c>
      <c r="E66" s="17" t="s">
        <v>22</v>
      </c>
      <c r="F66" s="19" t="s">
        <v>15</v>
      </c>
      <c r="G66" s="19" t="s">
        <v>34</v>
      </c>
      <c r="H66" s="20" t="s">
        <v>5</v>
      </c>
      <c r="I66" s="20" t="s">
        <v>4</v>
      </c>
      <c r="J66" s="20" t="s">
        <v>3</v>
      </c>
      <c r="K66" s="20" t="s">
        <v>1517</v>
      </c>
      <c r="L66" s="20" t="s">
        <v>6</v>
      </c>
      <c r="M66" s="20" t="s">
        <v>2</v>
      </c>
      <c r="N66" s="20" t="s">
        <v>2</v>
      </c>
      <c r="O66" s="11" t="s">
        <v>1517</v>
      </c>
      <c r="P66" s="4">
        <v>0</v>
      </c>
    </row>
    <row r="67" spans="1:16" s="5" customFormat="1" ht="42" customHeight="1">
      <c r="A67" s="2">
        <v>65</v>
      </c>
      <c r="B67" s="17">
        <v>2558720202</v>
      </c>
      <c r="C67" s="17">
        <v>250371611131</v>
      </c>
      <c r="D67" s="18" t="s">
        <v>459</v>
      </c>
      <c r="E67" s="17" t="s">
        <v>22</v>
      </c>
      <c r="F67" s="19" t="s">
        <v>15</v>
      </c>
      <c r="G67" s="19" t="s">
        <v>34</v>
      </c>
      <c r="H67" s="20" t="s">
        <v>8</v>
      </c>
      <c r="I67" s="20" t="s">
        <v>8</v>
      </c>
      <c r="J67" s="20" t="s">
        <v>8</v>
      </c>
      <c r="K67" s="20" t="s">
        <v>2</v>
      </c>
      <c r="L67" s="20" t="s">
        <v>2</v>
      </c>
      <c r="M67" s="20" t="s">
        <v>8</v>
      </c>
      <c r="N67" s="20" t="s">
        <v>8</v>
      </c>
      <c r="O67" s="11" t="s">
        <v>17</v>
      </c>
      <c r="P67" s="4">
        <v>9.6666666666666661</v>
      </c>
    </row>
    <row r="68" spans="1:16" s="5" customFormat="1" ht="42" customHeight="1">
      <c r="A68" s="2">
        <v>66</v>
      </c>
      <c r="B68" s="17">
        <v>2558720109</v>
      </c>
      <c r="C68" s="17">
        <v>250371611134</v>
      </c>
      <c r="D68" s="18" t="s">
        <v>460</v>
      </c>
      <c r="E68" s="17" t="s">
        <v>22</v>
      </c>
      <c r="F68" s="19" t="s">
        <v>15</v>
      </c>
      <c r="G68" s="19" t="s">
        <v>34</v>
      </c>
      <c r="H68" s="20" t="s">
        <v>4</v>
      </c>
      <c r="I68" s="20" t="s">
        <v>3</v>
      </c>
      <c r="J68" s="20" t="s">
        <v>4</v>
      </c>
      <c r="K68" s="20" t="s">
        <v>4</v>
      </c>
      <c r="L68" s="20" t="s">
        <v>4</v>
      </c>
      <c r="M68" s="20" t="s">
        <v>2</v>
      </c>
      <c r="N68" s="20" t="s">
        <v>8</v>
      </c>
      <c r="O68" s="11" t="s">
        <v>17</v>
      </c>
      <c r="P68" s="4">
        <v>7.4444444444444446</v>
      </c>
    </row>
    <row r="69" spans="1:16" s="5" customFormat="1" ht="42" customHeight="1">
      <c r="A69" s="2">
        <v>67</v>
      </c>
      <c r="B69" s="17">
        <v>2558720217</v>
      </c>
      <c r="C69" s="17">
        <v>250371611135</v>
      </c>
      <c r="D69" s="18" t="s">
        <v>461</v>
      </c>
      <c r="E69" s="17" t="s">
        <v>22</v>
      </c>
      <c r="F69" s="19" t="s">
        <v>15</v>
      </c>
      <c r="G69" s="19" t="s">
        <v>34</v>
      </c>
      <c r="H69" s="20" t="s">
        <v>3</v>
      </c>
      <c r="I69" s="20" t="s">
        <v>8</v>
      </c>
      <c r="J69" s="20" t="s">
        <v>3</v>
      </c>
      <c r="K69" s="20" t="s">
        <v>3</v>
      </c>
      <c r="L69" s="20" t="s">
        <v>3</v>
      </c>
      <c r="M69" s="20" t="s">
        <v>2</v>
      </c>
      <c r="N69" s="20" t="s">
        <v>8</v>
      </c>
      <c r="O69" s="11" t="s">
        <v>17</v>
      </c>
      <c r="P69" s="4">
        <v>8.5</v>
      </c>
    </row>
    <row r="70" spans="1:16" s="5" customFormat="1" ht="42" customHeight="1">
      <c r="A70" s="2">
        <v>68</v>
      </c>
      <c r="B70" s="17">
        <v>2558720148</v>
      </c>
      <c r="C70" s="17">
        <v>250371611136</v>
      </c>
      <c r="D70" s="18" t="s">
        <v>462</v>
      </c>
      <c r="E70" s="17" t="s">
        <v>22</v>
      </c>
      <c r="F70" s="19" t="s">
        <v>15</v>
      </c>
      <c r="G70" s="19" t="s">
        <v>34</v>
      </c>
      <c r="H70" s="20" t="s">
        <v>2</v>
      </c>
      <c r="I70" s="20" t="s">
        <v>2</v>
      </c>
      <c r="J70" s="20" t="s">
        <v>2</v>
      </c>
      <c r="K70" s="20" t="s">
        <v>3</v>
      </c>
      <c r="L70" s="20" t="s">
        <v>3</v>
      </c>
      <c r="M70" s="20" t="s">
        <v>2</v>
      </c>
      <c r="N70" s="20" t="s">
        <v>8</v>
      </c>
      <c r="O70" s="11" t="s">
        <v>17</v>
      </c>
      <c r="P70" s="4">
        <v>8.7222222222222214</v>
      </c>
    </row>
    <row r="71" spans="1:16" s="5" customFormat="1" ht="42" hidden="1" customHeight="1">
      <c r="A71" s="2">
        <v>69</v>
      </c>
      <c r="B71" s="17">
        <v>2558720120</v>
      </c>
      <c r="C71" s="17">
        <v>250371611137</v>
      </c>
      <c r="D71" s="18" t="s">
        <v>463</v>
      </c>
      <c r="E71" s="17" t="s">
        <v>22</v>
      </c>
      <c r="F71" s="19" t="s">
        <v>15</v>
      </c>
      <c r="G71" s="19" t="s">
        <v>34</v>
      </c>
      <c r="H71" s="20" t="s">
        <v>1517</v>
      </c>
      <c r="I71" s="20" t="s">
        <v>6</v>
      </c>
      <c r="J71" s="20" t="s">
        <v>3</v>
      </c>
      <c r="K71" s="20" t="s">
        <v>3</v>
      </c>
      <c r="L71" s="20" t="s">
        <v>3</v>
      </c>
      <c r="M71" s="20" t="s">
        <v>2</v>
      </c>
      <c r="N71" s="20" t="s">
        <v>8</v>
      </c>
      <c r="O71" s="11" t="s">
        <v>1517</v>
      </c>
      <c r="P71" s="4">
        <v>0</v>
      </c>
    </row>
    <row r="72" spans="1:16" s="5" customFormat="1" ht="42" hidden="1" customHeight="1">
      <c r="A72" s="2">
        <v>70</v>
      </c>
      <c r="B72" s="17">
        <v>2558720263</v>
      </c>
      <c r="C72" s="17">
        <v>250371611140</v>
      </c>
      <c r="D72" s="18" t="s">
        <v>464</v>
      </c>
      <c r="E72" s="17" t="s">
        <v>22</v>
      </c>
      <c r="F72" s="19" t="s">
        <v>15</v>
      </c>
      <c r="G72" s="19" t="s">
        <v>34</v>
      </c>
      <c r="H72" s="20" t="s">
        <v>5</v>
      </c>
      <c r="I72" s="20" t="s">
        <v>7</v>
      </c>
      <c r="J72" s="20" t="s">
        <v>5</v>
      </c>
      <c r="K72" s="20" t="s">
        <v>4</v>
      </c>
      <c r="L72" s="20" t="s">
        <v>6</v>
      </c>
      <c r="M72" s="20" t="s">
        <v>3</v>
      </c>
      <c r="N72" s="20" t="s">
        <v>3</v>
      </c>
      <c r="O72" s="11" t="s">
        <v>7</v>
      </c>
      <c r="P72" s="4">
        <v>0</v>
      </c>
    </row>
    <row r="73" spans="1:16" s="5" customFormat="1" ht="42" customHeight="1">
      <c r="A73" s="2">
        <v>71</v>
      </c>
      <c r="B73" s="17">
        <v>2558720097</v>
      </c>
      <c r="C73" s="17">
        <v>250371611141</v>
      </c>
      <c r="D73" s="18" t="s">
        <v>465</v>
      </c>
      <c r="E73" s="17" t="s">
        <v>22</v>
      </c>
      <c r="F73" s="19" t="s">
        <v>15</v>
      </c>
      <c r="G73" s="19" t="s">
        <v>34</v>
      </c>
      <c r="H73" s="20" t="s">
        <v>8</v>
      </c>
      <c r="I73" s="20" t="s">
        <v>8</v>
      </c>
      <c r="J73" s="20" t="s">
        <v>8</v>
      </c>
      <c r="K73" s="20" t="s">
        <v>2</v>
      </c>
      <c r="L73" s="20" t="s">
        <v>8</v>
      </c>
      <c r="M73" s="20" t="s">
        <v>8</v>
      </c>
      <c r="N73" s="20" t="s">
        <v>8</v>
      </c>
      <c r="O73" s="11" t="s">
        <v>17</v>
      </c>
      <c r="P73" s="4">
        <v>9.8333333333333339</v>
      </c>
    </row>
    <row r="74" spans="1:16" s="5" customFormat="1" ht="42" customHeight="1">
      <c r="A74" s="2">
        <v>72</v>
      </c>
      <c r="B74" s="17">
        <v>2558720191</v>
      </c>
      <c r="C74" s="17">
        <v>250371611143</v>
      </c>
      <c r="D74" s="18" t="s">
        <v>466</v>
      </c>
      <c r="E74" s="17" t="s">
        <v>22</v>
      </c>
      <c r="F74" s="19" t="s">
        <v>15</v>
      </c>
      <c r="G74" s="19" t="s">
        <v>34</v>
      </c>
      <c r="H74" s="20" t="s">
        <v>3</v>
      </c>
      <c r="I74" s="20" t="s">
        <v>4</v>
      </c>
      <c r="J74" s="20" t="s">
        <v>3</v>
      </c>
      <c r="K74" s="20" t="s">
        <v>3</v>
      </c>
      <c r="L74" s="20" t="s">
        <v>2</v>
      </c>
      <c r="M74" s="20" t="s">
        <v>8</v>
      </c>
      <c r="N74" s="20" t="s">
        <v>8</v>
      </c>
      <c r="O74" s="11" t="s">
        <v>17</v>
      </c>
      <c r="P74" s="4">
        <v>8.2222222222222214</v>
      </c>
    </row>
    <row r="75" spans="1:16" s="5" customFormat="1" ht="42" customHeight="1">
      <c r="A75" s="2">
        <v>73</v>
      </c>
      <c r="B75" s="17">
        <v>2558720036</v>
      </c>
      <c r="C75" s="17">
        <v>250371611145</v>
      </c>
      <c r="D75" s="18" t="s">
        <v>467</v>
      </c>
      <c r="E75" s="17" t="s">
        <v>22</v>
      </c>
      <c r="F75" s="19" t="s">
        <v>15</v>
      </c>
      <c r="G75" s="19" t="s">
        <v>34</v>
      </c>
      <c r="H75" s="20" t="s">
        <v>3</v>
      </c>
      <c r="I75" s="20" t="s">
        <v>3</v>
      </c>
      <c r="J75" s="20" t="s">
        <v>2</v>
      </c>
      <c r="K75" s="20" t="s">
        <v>3</v>
      </c>
      <c r="L75" s="20" t="s">
        <v>2</v>
      </c>
      <c r="M75" s="20" t="s">
        <v>2</v>
      </c>
      <c r="N75" s="20" t="s">
        <v>2</v>
      </c>
      <c r="O75" s="11" t="s">
        <v>17</v>
      </c>
      <c r="P75" s="4">
        <v>8.5</v>
      </c>
    </row>
    <row r="76" spans="1:16" s="5" customFormat="1" ht="42" customHeight="1">
      <c r="A76" s="2">
        <v>74</v>
      </c>
      <c r="B76" s="17">
        <v>2558720200</v>
      </c>
      <c r="C76" s="17">
        <v>250371611148</v>
      </c>
      <c r="D76" s="18" t="s">
        <v>468</v>
      </c>
      <c r="E76" s="17" t="s">
        <v>22</v>
      </c>
      <c r="F76" s="19" t="s">
        <v>15</v>
      </c>
      <c r="G76" s="19" t="s">
        <v>34</v>
      </c>
      <c r="H76" s="20" t="s">
        <v>2</v>
      </c>
      <c r="I76" s="20" t="s">
        <v>4</v>
      </c>
      <c r="J76" s="20" t="s">
        <v>3</v>
      </c>
      <c r="K76" s="20" t="s">
        <v>3</v>
      </c>
      <c r="L76" s="20" t="s">
        <v>3</v>
      </c>
      <c r="M76" s="20" t="s">
        <v>2</v>
      </c>
      <c r="N76" s="20" t="s">
        <v>8</v>
      </c>
      <c r="O76" s="11" t="s">
        <v>17</v>
      </c>
      <c r="P76" s="4">
        <v>8.1666666666666661</v>
      </c>
    </row>
    <row r="77" spans="1:16" s="5" customFormat="1" ht="42" customHeight="1">
      <c r="A77" s="2">
        <v>75</v>
      </c>
      <c r="B77" s="17">
        <v>2558720173</v>
      </c>
      <c r="C77" s="17">
        <v>250371611153</v>
      </c>
      <c r="D77" s="18" t="s">
        <v>469</v>
      </c>
      <c r="E77" s="17" t="s">
        <v>22</v>
      </c>
      <c r="F77" s="19" t="s">
        <v>15</v>
      </c>
      <c r="G77" s="19" t="s">
        <v>34</v>
      </c>
      <c r="H77" s="20" t="s">
        <v>8</v>
      </c>
      <c r="I77" s="20" t="s">
        <v>3</v>
      </c>
      <c r="J77" s="20" t="s">
        <v>8</v>
      </c>
      <c r="K77" s="20" t="s">
        <v>2</v>
      </c>
      <c r="L77" s="20" t="s">
        <v>2</v>
      </c>
      <c r="M77" s="20" t="s">
        <v>2</v>
      </c>
      <c r="N77" s="20" t="s">
        <v>8</v>
      </c>
      <c r="O77" s="11" t="s">
        <v>17</v>
      </c>
      <c r="P77" s="4">
        <v>9.2777777777777786</v>
      </c>
    </row>
    <row r="78" spans="1:16" s="5" customFormat="1" ht="42" customHeight="1">
      <c r="A78" s="2">
        <v>76</v>
      </c>
      <c r="B78" s="17">
        <v>2558720144</v>
      </c>
      <c r="C78" s="17">
        <v>250371611154</v>
      </c>
      <c r="D78" s="18" t="s">
        <v>470</v>
      </c>
      <c r="E78" s="17" t="s">
        <v>22</v>
      </c>
      <c r="F78" s="19" t="s">
        <v>15</v>
      </c>
      <c r="G78" s="19" t="s">
        <v>34</v>
      </c>
      <c r="H78" s="20" t="s">
        <v>2</v>
      </c>
      <c r="I78" s="20" t="s">
        <v>5</v>
      </c>
      <c r="J78" s="20" t="s">
        <v>2</v>
      </c>
      <c r="K78" s="20" t="s">
        <v>4</v>
      </c>
      <c r="L78" s="20" t="s">
        <v>3</v>
      </c>
      <c r="M78" s="20" t="s">
        <v>2</v>
      </c>
      <c r="N78" s="20" t="s">
        <v>2</v>
      </c>
      <c r="O78" s="11" t="s">
        <v>17</v>
      </c>
      <c r="P78" s="4">
        <v>8</v>
      </c>
    </row>
    <row r="79" spans="1:16" s="5" customFormat="1" ht="42" customHeight="1">
      <c r="A79" s="2">
        <v>77</v>
      </c>
      <c r="B79" s="17">
        <v>2558720073</v>
      </c>
      <c r="C79" s="17">
        <v>250371611155</v>
      </c>
      <c r="D79" s="18" t="s">
        <v>471</v>
      </c>
      <c r="E79" s="17" t="s">
        <v>22</v>
      </c>
      <c r="F79" s="19" t="s">
        <v>15</v>
      </c>
      <c r="G79" s="19" t="s">
        <v>34</v>
      </c>
      <c r="H79" s="20" t="s">
        <v>3</v>
      </c>
      <c r="I79" s="20" t="s">
        <v>2</v>
      </c>
      <c r="J79" s="20" t="s">
        <v>3</v>
      </c>
      <c r="K79" s="20" t="s">
        <v>3</v>
      </c>
      <c r="L79" s="20" t="s">
        <v>3</v>
      </c>
      <c r="M79" s="20" t="s">
        <v>2</v>
      </c>
      <c r="N79" s="20" t="s">
        <v>2</v>
      </c>
      <c r="O79" s="11" t="s">
        <v>17</v>
      </c>
      <c r="P79" s="4">
        <v>8.2777777777777786</v>
      </c>
    </row>
    <row r="80" spans="1:16" s="5" customFormat="1" ht="42" customHeight="1">
      <c r="A80" s="2">
        <v>78</v>
      </c>
      <c r="B80" s="17">
        <v>2558720273</v>
      </c>
      <c r="C80" s="17">
        <v>250371611157</v>
      </c>
      <c r="D80" s="18" t="s">
        <v>472</v>
      </c>
      <c r="E80" s="17" t="s">
        <v>22</v>
      </c>
      <c r="F80" s="19" t="s">
        <v>15</v>
      </c>
      <c r="G80" s="19" t="s">
        <v>34</v>
      </c>
      <c r="H80" s="20" t="s">
        <v>11</v>
      </c>
      <c r="I80" s="20" t="s">
        <v>5</v>
      </c>
      <c r="J80" s="20" t="s">
        <v>11</v>
      </c>
      <c r="K80" s="20" t="s">
        <v>4</v>
      </c>
      <c r="L80" s="20" t="s">
        <v>6</v>
      </c>
      <c r="M80" s="20" t="s">
        <v>2</v>
      </c>
      <c r="N80" s="20" t="s">
        <v>2</v>
      </c>
      <c r="O80" s="11" t="s">
        <v>17</v>
      </c>
      <c r="P80" s="4">
        <v>5.5555555555555554</v>
      </c>
    </row>
    <row r="81" spans="1:16" s="5" customFormat="1" ht="42" hidden="1" customHeight="1">
      <c r="A81" s="2">
        <v>79</v>
      </c>
      <c r="B81" s="17">
        <v>2558720255</v>
      </c>
      <c r="C81" s="17">
        <v>250371611158</v>
      </c>
      <c r="D81" s="18" t="s">
        <v>473</v>
      </c>
      <c r="E81" s="17" t="s">
        <v>22</v>
      </c>
      <c r="F81" s="19" t="s">
        <v>15</v>
      </c>
      <c r="G81" s="19" t="s">
        <v>34</v>
      </c>
      <c r="H81" s="20" t="s">
        <v>7</v>
      </c>
      <c r="I81" s="20" t="s">
        <v>6</v>
      </c>
      <c r="J81" s="20" t="s">
        <v>6</v>
      </c>
      <c r="K81" s="20" t="s">
        <v>3</v>
      </c>
      <c r="L81" s="20" t="s">
        <v>11</v>
      </c>
      <c r="M81" s="20" t="s">
        <v>2</v>
      </c>
      <c r="N81" s="20" t="s">
        <v>2</v>
      </c>
      <c r="O81" s="11" t="s">
        <v>7</v>
      </c>
      <c r="P81" s="4">
        <v>0</v>
      </c>
    </row>
    <row r="82" spans="1:16" s="5" customFormat="1" ht="42" customHeight="1">
      <c r="A82" s="2">
        <v>80</v>
      </c>
      <c r="B82" s="17">
        <v>2558720225</v>
      </c>
      <c r="C82" s="17">
        <v>250371611159</v>
      </c>
      <c r="D82" s="18" t="s">
        <v>474</v>
      </c>
      <c r="E82" s="17" t="s">
        <v>22</v>
      </c>
      <c r="F82" s="19" t="s">
        <v>15</v>
      </c>
      <c r="G82" s="19" t="s">
        <v>34</v>
      </c>
      <c r="H82" s="20" t="s">
        <v>3</v>
      </c>
      <c r="I82" s="20" t="s">
        <v>3</v>
      </c>
      <c r="J82" s="20" t="s">
        <v>3</v>
      </c>
      <c r="K82" s="20" t="s">
        <v>4</v>
      </c>
      <c r="L82" s="20" t="s">
        <v>4</v>
      </c>
      <c r="M82" s="20" t="s">
        <v>2</v>
      </c>
      <c r="N82" s="20" t="s">
        <v>2</v>
      </c>
      <c r="O82" s="11" t="s">
        <v>17</v>
      </c>
      <c r="P82" s="4">
        <v>7.7777777777777777</v>
      </c>
    </row>
    <row r="83" spans="1:16" s="5" customFormat="1" ht="42" customHeight="1">
      <c r="A83" s="2">
        <v>81</v>
      </c>
      <c r="B83" s="17">
        <v>2558720071</v>
      </c>
      <c r="C83" s="17">
        <v>250371611160</v>
      </c>
      <c r="D83" s="18" t="s">
        <v>475</v>
      </c>
      <c r="E83" s="17" t="s">
        <v>22</v>
      </c>
      <c r="F83" s="19" t="s">
        <v>15</v>
      </c>
      <c r="G83" s="19" t="s">
        <v>34</v>
      </c>
      <c r="H83" s="20" t="s">
        <v>2</v>
      </c>
      <c r="I83" s="20" t="s">
        <v>2</v>
      </c>
      <c r="J83" s="20" t="s">
        <v>8</v>
      </c>
      <c r="K83" s="20" t="s">
        <v>8</v>
      </c>
      <c r="L83" s="20" t="s">
        <v>2</v>
      </c>
      <c r="M83" s="20" t="s">
        <v>8</v>
      </c>
      <c r="N83" s="20" t="s">
        <v>8</v>
      </c>
      <c r="O83" s="11" t="s">
        <v>17</v>
      </c>
      <c r="P83" s="4">
        <v>9.5</v>
      </c>
    </row>
    <row r="84" spans="1:16" s="5" customFormat="1" ht="42" customHeight="1">
      <c r="A84" s="2">
        <v>82</v>
      </c>
      <c r="B84" s="17">
        <v>2558720037</v>
      </c>
      <c r="C84" s="17">
        <v>250371611161</v>
      </c>
      <c r="D84" s="18" t="s">
        <v>476</v>
      </c>
      <c r="E84" s="17" t="s">
        <v>22</v>
      </c>
      <c r="F84" s="19" t="s">
        <v>15</v>
      </c>
      <c r="G84" s="19" t="s">
        <v>34</v>
      </c>
      <c r="H84" s="20" t="s">
        <v>4</v>
      </c>
      <c r="I84" s="20" t="s">
        <v>3</v>
      </c>
      <c r="J84" s="20" t="s">
        <v>3</v>
      </c>
      <c r="K84" s="20" t="s">
        <v>3</v>
      </c>
      <c r="L84" s="20" t="s">
        <v>11</v>
      </c>
      <c r="M84" s="20" t="s">
        <v>2</v>
      </c>
      <c r="N84" s="20" t="s">
        <v>2</v>
      </c>
      <c r="O84" s="11" t="s">
        <v>17</v>
      </c>
      <c r="P84" s="4">
        <v>7.2777777777777777</v>
      </c>
    </row>
    <row r="85" spans="1:16" s="5" customFormat="1" ht="42" customHeight="1">
      <c r="A85" s="2">
        <v>83</v>
      </c>
      <c r="B85" s="17">
        <v>2558720209</v>
      </c>
      <c r="C85" s="17">
        <v>250371611162</v>
      </c>
      <c r="D85" s="18" t="s">
        <v>477</v>
      </c>
      <c r="E85" s="17" t="s">
        <v>22</v>
      </c>
      <c r="F85" s="19" t="s">
        <v>15</v>
      </c>
      <c r="G85" s="19" t="s">
        <v>34</v>
      </c>
      <c r="H85" s="20" t="s">
        <v>2</v>
      </c>
      <c r="I85" s="20" t="s">
        <v>8</v>
      </c>
      <c r="J85" s="20" t="s">
        <v>8</v>
      </c>
      <c r="K85" s="20" t="s">
        <v>3</v>
      </c>
      <c r="L85" s="20" t="s">
        <v>4</v>
      </c>
      <c r="M85" s="20" t="s">
        <v>8</v>
      </c>
      <c r="N85" s="20" t="s">
        <v>8</v>
      </c>
      <c r="O85" s="11" t="s">
        <v>17</v>
      </c>
      <c r="P85" s="4">
        <v>9</v>
      </c>
    </row>
    <row r="86" spans="1:16" s="5" customFormat="1" ht="42" customHeight="1">
      <c r="A86" s="2">
        <v>84</v>
      </c>
      <c r="B86" s="17">
        <v>2558720024</v>
      </c>
      <c r="C86" s="17">
        <v>250371611163</v>
      </c>
      <c r="D86" s="18" t="s">
        <v>478</v>
      </c>
      <c r="E86" s="17" t="s">
        <v>22</v>
      </c>
      <c r="F86" s="19" t="s">
        <v>15</v>
      </c>
      <c r="G86" s="19" t="s">
        <v>34</v>
      </c>
      <c r="H86" s="20" t="s">
        <v>2</v>
      </c>
      <c r="I86" s="20" t="s">
        <v>8</v>
      </c>
      <c r="J86" s="20" t="s">
        <v>2</v>
      </c>
      <c r="K86" s="20" t="s">
        <v>2</v>
      </c>
      <c r="L86" s="20" t="s">
        <v>8</v>
      </c>
      <c r="M86" s="20" t="s">
        <v>8</v>
      </c>
      <c r="N86" s="20" t="s">
        <v>8</v>
      </c>
      <c r="O86" s="11" t="s">
        <v>17</v>
      </c>
      <c r="P86" s="4">
        <v>9.4444444444444446</v>
      </c>
    </row>
    <row r="87" spans="1:16" s="5" customFormat="1" ht="42" customHeight="1">
      <c r="A87" s="2">
        <v>85</v>
      </c>
      <c r="B87" s="17">
        <v>2558720260</v>
      </c>
      <c r="C87" s="17">
        <v>250371611166</v>
      </c>
      <c r="D87" s="18" t="s">
        <v>479</v>
      </c>
      <c r="E87" s="17" t="s">
        <v>22</v>
      </c>
      <c r="F87" s="19" t="s">
        <v>15</v>
      </c>
      <c r="G87" s="19" t="s">
        <v>34</v>
      </c>
      <c r="H87" s="20" t="s">
        <v>4</v>
      </c>
      <c r="I87" s="20" t="s">
        <v>6</v>
      </c>
      <c r="J87" s="20" t="s">
        <v>5</v>
      </c>
      <c r="K87" s="20" t="s">
        <v>5</v>
      </c>
      <c r="L87" s="20" t="s">
        <v>11</v>
      </c>
      <c r="M87" s="20" t="s">
        <v>2</v>
      </c>
      <c r="N87" s="20" t="s">
        <v>2</v>
      </c>
      <c r="O87" s="11" t="s">
        <v>17</v>
      </c>
      <c r="P87" s="4">
        <v>6</v>
      </c>
    </row>
    <row r="88" spans="1:16" s="5" customFormat="1" ht="42" customHeight="1">
      <c r="A88" s="2">
        <v>86</v>
      </c>
      <c r="B88" s="17">
        <v>2558720170</v>
      </c>
      <c r="C88" s="17">
        <v>250371611173</v>
      </c>
      <c r="D88" s="18" t="s">
        <v>480</v>
      </c>
      <c r="E88" s="17" t="s">
        <v>22</v>
      </c>
      <c r="F88" s="19" t="s">
        <v>15</v>
      </c>
      <c r="G88" s="19" t="s">
        <v>34</v>
      </c>
      <c r="H88" s="20" t="s">
        <v>4</v>
      </c>
      <c r="I88" s="20" t="s">
        <v>3</v>
      </c>
      <c r="J88" s="20" t="s">
        <v>3</v>
      </c>
      <c r="K88" s="20" t="s">
        <v>2</v>
      </c>
      <c r="L88" s="20" t="s">
        <v>3</v>
      </c>
      <c r="M88" s="20" t="s">
        <v>2</v>
      </c>
      <c r="N88" s="20" t="s">
        <v>2</v>
      </c>
      <c r="O88" s="11" t="s">
        <v>17</v>
      </c>
      <c r="P88" s="4">
        <v>8.1111111111111107</v>
      </c>
    </row>
    <row r="89" spans="1:16" s="5" customFormat="1" ht="42" customHeight="1">
      <c r="A89" s="2">
        <v>87</v>
      </c>
      <c r="B89" s="17">
        <v>2558720149</v>
      </c>
      <c r="C89" s="17">
        <v>250371611176</v>
      </c>
      <c r="D89" s="18" t="s">
        <v>481</v>
      </c>
      <c r="E89" s="17" t="s">
        <v>22</v>
      </c>
      <c r="F89" s="19" t="s">
        <v>15</v>
      </c>
      <c r="G89" s="19" t="s">
        <v>34</v>
      </c>
      <c r="H89" s="20" t="s">
        <v>2</v>
      </c>
      <c r="I89" s="20" t="s">
        <v>2</v>
      </c>
      <c r="J89" s="20" t="s">
        <v>2</v>
      </c>
      <c r="K89" s="20" t="s">
        <v>2</v>
      </c>
      <c r="L89" s="20" t="s">
        <v>4</v>
      </c>
      <c r="M89" s="20" t="s">
        <v>2</v>
      </c>
      <c r="N89" s="20" t="s">
        <v>8</v>
      </c>
      <c r="O89" s="11" t="s">
        <v>17</v>
      </c>
      <c r="P89" s="4">
        <v>8.7222222222222214</v>
      </c>
    </row>
    <row r="90" spans="1:16" s="5" customFormat="1" ht="42" customHeight="1">
      <c r="A90" s="2">
        <v>88</v>
      </c>
      <c r="B90" s="17">
        <v>2558720004</v>
      </c>
      <c r="C90" s="17">
        <v>250371611177</v>
      </c>
      <c r="D90" s="18" t="s">
        <v>482</v>
      </c>
      <c r="E90" s="17" t="s">
        <v>22</v>
      </c>
      <c r="F90" s="19" t="s">
        <v>15</v>
      </c>
      <c r="G90" s="19" t="s">
        <v>34</v>
      </c>
      <c r="H90" s="20" t="s">
        <v>8</v>
      </c>
      <c r="I90" s="20" t="s">
        <v>8</v>
      </c>
      <c r="J90" s="20" t="s">
        <v>2</v>
      </c>
      <c r="K90" s="20" t="s">
        <v>8</v>
      </c>
      <c r="L90" s="20" t="s">
        <v>2</v>
      </c>
      <c r="M90" s="20" t="s">
        <v>8</v>
      </c>
      <c r="N90" s="20" t="s">
        <v>2</v>
      </c>
      <c r="O90" s="11" t="s">
        <v>17</v>
      </c>
      <c r="P90" s="4">
        <v>9.5555555555555554</v>
      </c>
    </row>
    <row r="91" spans="1:16" s="5" customFormat="1" ht="42" customHeight="1">
      <c r="A91" s="2">
        <v>89</v>
      </c>
      <c r="B91" s="17">
        <v>2558720115</v>
      </c>
      <c r="C91" s="17">
        <v>250371611185</v>
      </c>
      <c r="D91" s="18" t="s">
        <v>483</v>
      </c>
      <c r="E91" s="17" t="s">
        <v>22</v>
      </c>
      <c r="F91" s="19" t="s">
        <v>15</v>
      </c>
      <c r="G91" s="19" t="s">
        <v>34</v>
      </c>
      <c r="H91" s="20" t="s">
        <v>2</v>
      </c>
      <c r="I91" s="20" t="s">
        <v>2</v>
      </c>
      <c r="J91" s="20" t="s">
        <v>4</v>
      </c>
      <c r="K91" s="20" t="s">
        <v>2</v>
      </c>
      <c r="L91" s="20" t="s">
        <v>4</v>
      </c>
      <c r="M91" s="20" t="s">
        <v>2</v>
      </c>
      <c r="N91" s="20" t="s">
        <v>2</v>
      </c>
      <c r="O91" s="11" t="s">
        <v>17</v>
      </c>
      <c r="P91" s="4">
        <v>8.2222222222222214</v>
      </c>
    </row>
    <row r="92" spans="1:16" s="5" customFormat="1" ht="42" customHeight="1">
      <c r="A92" s="2">
        <v>90</v>
      </c>
      <c r="B92" s="17">
        <v>2558720140</v>
      </c>
      <c r="C92" s="17">
        <v>250371611186</v>
      </c>
      <c r="D92" s="18" t="s">
        <v>484</v>
      </c>
      <c r="E92" s="17" t="s">
        <v>22</v>
      </c>
      <c r="F92" s="19" t="s">
        <v>15</v>
      </c>
      <c r="G92" s="19" t="s">
        <v>34</v>
      </c>
      <c r="H92" s="20" t="s">
        <v>8</v>
      </c>
      <c r="I92" s="20" t="s">
        <v>2</v>
      </c>
      <c r="J92" s="20" t="s">
        <v>4</v>
      </c>
      <c r="K92" s="20" t="s">
        <v>2</v>
      </c>
      <c r="L92" s="20" t="s">
        <v>8</v>
      </c>
      <c r="M92" s="20" t="s">
        <v>8</v>
      </c>
      <c r="N92" s="20" t="s">
        <v>8</v>
      </c>
      <c r="O92" s="11" t="s">
        <v>17</v>
      </c>
      <c r="P92" s="4">
        <v>9</v>
      </c>
    </row>
    <row r="93" spans="1:16" s="5" customFormat="1" ht="42" customHeight="1">
      <c r="A93" s="2">
        <v>91</v>
      </c>
      <c r="B93" s="17">
        <v>2558720057</v>
      </c>
      <c r="C93" s="17">
        <v>250371611187</v>
      </c>
      <c r="D93" s="18" t="s">
        <v>485</v>
      </c>
      <c r="E93" s="17" t="s">
        <v>22</v>
      </c>
      <c r="F93" s="19" t="s">
        <v>15</v>
      </c>
      <c r="G93" s="19" t="s">
        <v>34</v>
      </c>
      <c r="H93" s="20" t="s">
        <v>2</v>
      </c>
      <c r="I93" s="20" t="s">
        <v>2</v>
      </c>
      <c r="J93" s="20" t="s">
        <v>3</v>
      </c>
      <c r="K93" s="20" t="s">
        <v>3</v>
      </c>
      <c r="L93" s="20" t="s">
        <v>2</v>
      </c>
      <c r="M93" s="20" t="s">
        <v>2</v>
      </c>
      <c r="N93" s="20" t="s">
        <v>2</v>
      </c>
      <c r="O93" s="11" t="s">
        <v>17</v>
      </c>
      <c r="P93" s="4">
        <v>8.6111111111111107</v>
      </c>
    </row>
    <row r="94" spans="1:16" s="5" customFormat="1" ht="42" customHeight="1">
      <c r="A94" s="2">
        <v>92</v>
      </c>
      <c r="B94" s="17">
        <v>2558720253</v>
      </c>
      <c r="C94" s="17">
        <v>250371611188</v>
      </c>
      <c r="D94" s="18" t="s">
        <v>486</v>
      </c>
      <c r="E94" s="17" t="s">
        <v>22</v>
      </c>
      <c r="F94" s="19" t="s">
        <v>15</v>
      </c>
      <c r="G94" s="19" t="s">
        <v>34</v>
      </c>
      <c r="H94" s="20" t="s">
        <v>8</v>
      </c>
      <c r="I94" s="20" t="s">
        <v>3</v>
      </c>
      <c r="J94" s="20" t="s">
        <v>3</v>
      </c>
      <c r="K94" s="20" t="s">
        <v>2</v>
      </c>
      <c r="L94" s="20" t="s">
        <v>8</v>
      </c>
      <c r="M94" s="20" t="s">
        <v>8</v>
      </c>
      <c r="N94" s="20" t="s">
        <v>8</v>
      </c>
      <c r="O94" s="11" t="s">
        <v>17</v>
      </c>
      <c r="P94" s="4">
        <v>9.0555555555555554</v>
      </c>
    </row>
    <row r="95" spans="1:16" s="5" customFormat="1" ht="42" customHeight="1">
      <c r="A95" s="2">
        <v>93</v>
      </c>
      <c r="B95" s="17">
        <v>2558720184</v>
      </c>
      <c r="C95" s="17">
        <v>250371611189</v>
      </c>
      <c r="D95" s="18" t="s">
        <v>487</v>
      </c>
      <c r="E95" s="17" t="s">
        <v>22</v>
      </c>
      <c r="F95" s="19" t="s">
        <v>15</v>
      </c>
      <c r="G95" s="19" t="s">
        <v>34</v>
      </c>
      <c r="H95" s="20" t="s">
        <v>2</v>
      </c>
      <c r="I95" s="20" t="s">
        <v>4</v>
      </c>
      <c r="J95" s="20" t="s">
        <v>4</v>
      </c>
      <c r="K95" s="20" t="s">
        <v>4</v>
      </c>
      <c r="L95" s="20" t="s">
        <v>3</v>
      </c>
      <c r="M95" s="20" t="s">
        <v>2</v>
      </c>
      <c r="N95" s="20" t="s">
        <v>8</v>
      </c>
      <c r="O95" s="11" t="s">
        <v>17</v>
      </c>
      <c r="P95" s="4">
        <v>7.7777777777777777</v>
      </c>
    </row>
    <row r="96" spans="1:16" s="5" customFormat="1" ht="42" customHeight="1">
      <c r="A96" s="2">
        <v>94</v>
      </c>
      <c r="B96" s="17">
        <v>2558720157</v>
      </c>
      <c r="C96" s="17">
        <v>250371611191</v>
      </c>
      <c r="D96" s="18" t="s">
        <v>488</v>
      </c>
      <c r="E96" s="17" t="s">
        <v>22</v>
      </c>
      <c r="F96" s="19" t="s">
        <v>15</v>
      </c>
      <c r="G96" s="19" t="s">
        <v>34</v>
      </c>
      <c r="H96" s="20" t="s">
        <v>2</v>
      </c>
      <c r="I96" s="20" t="s">
        <v>8</v>
      </c>
      <c r="J96" s="20" t="s">
        <v>4</v>
      </c>
      <c r="K96" s="20" t="s">
        <v>3</v>
      </c>
      <c r="L96" s="20" t="s">
        <v>2</v>
      </c>
      <c r="M96" s="20" t="s">
        <v>2</v>
      </c>
      <c r="N96" s="20" t="s">
        <v>2</v>
      </c>
      <c r="O96" s="11" t="s">
        <v>17</v>
      </c>
      <c r="P96" s="4">
        <v>8.5555555555555554</v>
      </c>
    </row>
    <row r="97" spans="1:16" s="5" customFormat="1" ht="42" customHeight="1">
      <c r="A97" s="2">
        <v>95</v>
      </c>
      <c r="B97" s="17">
        <v>2558720031</v>
      </c>
      <c r="C97" s="17">
        <v>250371611193</v>
      </c>
      <c r="D97" s="18" t="s">
        <v>489</v>
      </c>
      <c r="E97" s="17" t="s">
        <v>22</v>
      </c>
      <c r="F97" s="19" t="s">
        <v>15</v>
      </c>
      <c r="G97" s="19" t="s">
        <v>34</v>
      </c>
      <c r="H97" s="20" t="s">
        <v>2</v>
      </c>
      <c r="I97" s="20" t="s">
        <v>8</v>
      </c>
      <c r="J97" s="20" t="s">
        <v>5</v>
      </c>
      <c r="K97" s="20" t="s">
        <v>3</v>
      </c>
      <c r="L97" s="20" t="s">
        <v>2</v>
      </c>
      <c r="M97" s="20" t="s">
        <v>2</v>
      </c>
      <c r="N97" s="20" t="s">
        <v>2</v>
      </c>
      <c r="O97" s="11" t="s">
        <v>17</v>
      </c>
      <c r="P97" s="4">
        <v>8.3333333333333339</v>
      </c>
    </row>
    <row r="98" spans="1:16" s="5" customFormat="1" ht="42" customHeight="1">
      <c r="A98" s="2">
        <v>96</v>
      </c>
      <c r="B98" s="17">
        <v>2558720116</v>
      </c>
      <c r="C98" s="17">
        <v>250371611194</v>
      </c>
      <c r="D98" s="18" t="s">
        <v>490</v>
      </c>
      <c r="E98" s="17" t="s">
        <v>22</v>
      </c>
      <c r="F98" s="19" t="s">
        <v>15</v>
      </c>
      <c r="G98" s="19" t="s">
        <v>34</v>
      </c>
      <c r="H98" s="20" t="s">
        <v>2</v>
      </c>
      <c r="I98" s="20" t="s">
        <v>2</v>
      </c>
      <c r="J98" s="20" t="s">
        <v>4</v>
      </c>
      <c r="K98" s="20" t="s">
        <v>4</v>
      </c>
      <c r="L98" s="20" t="s">
        <v>2</v>
      </c>
      <c r="M98" s="20" t="s">
        <v>8</v>
      </c>
      <c r="N98" s="20" t="s">
        <v>8</v>
      </c>
      <c r="O98" s="11" t="s">
        <v>17</v>
      </c>
      <c r="P98" s="4">
        <v>8.3333333333333339</v>
      </c>
    </row>
    <row r="99" spans="1:16" s="5" customFormat="1" ht="42" customHeight="1">
      <c r="A99" s="2">
        <v>97</v>
      </c>
      <c r="B99" s="17">
        <v>2558720247</v>
      </c>
      <c r="C99" s="17">
        <v>250371611195</v>
      </c>
      <c r="D99" s="18" t="s">
        <v>491</v>
      </c>
      <c r="E99" s="17" t="s">
        <v>22</v>
      </c>
      <c r="F99" s="19" t="s">
        <v>15</v>
      </c>
      <c r="G99" s="19" t="s">
        <v>34</v>
      </c>
      <c r="H99" s="20" t="s">
        <v>2</v>
      </c>
      <c r="I99" s="20" t="s">
        <v>2</v>
      </c>
      <c r="J99" s="20" t="s">
        <v>4</v>
      </c>
      <c r="K99" s="20" t="s">
        <v>2</v>
      </c>
      <c r="L99" s="20" t="s">
        <v>2</v>
      </c>
      <c r="M99" s="20" t="s">
        <v>2</v>
      </c>
      <c r="N99" s="20" t="s">
        <v>8</v>
      </c>
      <c r="O99" s="11" t="s">
        <v>17</v>
      </c>
      <c r="P99" s="4">
        <v>8.6111111111111107</v>
      </c>
    </row>
    <row r="100" spans="1:16" s="5" customFormat="1" ht="42" customHeight="1">
      <c r="A100" s="2">
        <v>98</v>
      </c>
      <c r="B100" s="17">
        <v>2558720061</v>
      </c>
      <c r="C100" s="17">
        <v>250371611199</v>
      </c>
      <c r="D100" s="18" t="s">
        <v>492</v>
      </c>
      <c r="E100" s="17" t="s">
        <v>22</v>
      </c>
      <c r="F100" s="19" t="s">
        <v>15</v>
      </c>
      <c r="G100" s="19" t="s">
        <v>34</v>
      </c>
      <c r="H100" s="20" t="s">
        <v>8</v>
      </c>
      <c r="I100" s="20" t="s">
        <v>8</v>
      </c>
      <c r="J100" s="20" t="s">
        <v>3</v>
      </c>
      <c r="K100" s="20" t="s">
        <v>2</v>
      </c>
      <c r="L100" s="20" t="s">
        <v>8</v>
      </c>
      <c r="M100" s="20" t="s">
        <v>8</v>
      </c>
      <c r="N100" s="20" t="s">
        <v>8</v>
      </c>
      <c r="O100" s="11" t="s">
        <v>17</v>
      </c>
      <c r="P100" s="4">
        <v>9.3888888888888893</v>
      </c>
    </row>
    <row r="101" spans="1:16" s="5" customFormat="1" ht="42" customHeight="1">
      <c r="A101" s="2">
        <v>99</v>
      </c>
      <c r="B101" s="17">
        <v>2558720227</v>
      </c>
      <c r="C101" s="17">
        <v>250371611201</v>
      </c>
      <c r="D101" s="18" t="s">
        <v>493</v>
      </c>
      <c r="E101" s="17" t="s">
        <v>22</v>
      </c>
      <c r="F101" s="19" t="s">
        <v>15</v>
      </c>
      <c r="G101" s="19" t="s">
        <v>34</v>
      </c>
      <c r="H101" s="20" t="s">
        <v>2</v>
      </c>
      <c r="I101" s="20" t="s">
        <v>3</v>
      </c>
      <c r="J101" s="20" t="s">
        <v>5</v>
      </c>
      <c r="K101" s="20" t="s">
        <v>3</v>
      </c>
      <c r="L101" s="20" t="s">
        <v>2</v>
      </c>
      <c r="M101" s="20" t="s">
        <v>8</v>
      </c>
      <c r="N101" s="20" t="s">
        <v>8</v>
      </c>
      <c r="O101" s="11" t="s">
        <v>17</v>
      </c>
      <c r="P101" s="4">
        <v>8.1111111111111107</v>
      </c>
    </row>
    <row r="102" spans="1:16" s="5" customFormat="1" ht="42" customHeight="1">
      <c r="A102" s="2">
        <v>100</v>
      </c>
      <c r="B102" s="17">
        <v>2558720243</v>
      </c>
      <c r="C102" s="17">
        <v>250371611202</v>
      </c>
      <c r="D102" s="18" t="s">
        <v>494</v>
      </c>
      <c r="E102" s="17" t="s">
        <v>22</v>
      </c>
      <c r="F102" s="19" t="s">
        <v>15</v>
      </c>
      <c r="G102" s="19" t="s">
        <v>34</v>
      </c>
      <c r="H102" s="20" t="s">
        <v>2</v>
      </c>
      <c r="I102" s="20" t="s">
        <v>8</v>
      </c>
      <c r="J102" s="20" t="s">
        <v>3</v>
      </c>
      <c r="K102" s="20" t="s">
        <v>2</v>
      </c>
      <c r="L102" s="20" t="s">
        <v>8</v>
      </c>
      <c r="M102" s="20" t="s">
        <v>8</v>
      </c>
      <c r="N102" s="20" t="s">
        <v>8</v>
      </c>
      <c r="O102" s="11" t="s">
        <v>17</v>
      </c>
      <c r="P102" s="4">
        <v>9.2222222222222214</v>
      </c>
    </row>
    <row r="103" spans="1:16" s="5" customFormat="1" ht="42" customHeight="1">
      <c r="A103" s="2">
        <v>101</v>
      </c>
      <c r="B103" s="17">
        <v>2558720258</v>
      </c>
      <c r="C103" s="17">
        <v>250371611204</v>
      </c>
      <c r="D103" s="18" t="s">
        <v>495</v>
      </c>
      <c r="E103" s="17" t="s">
        <v>22</v>
      </c>
      <c r="F103" s="19" t="s">
        <v>15</v>
      </c>
      <c r="G103" s="19" t="s">
        <v>34</v>
      </c>
      <c r="H103" s="20" t="s">
        <v>2</v>
      </c>
      <c r="I103" s="20" t="s">
        <v>2</v>
      </c>
      <c r="J103" s="20" t="s">
        <v>3</v>
      </c>
      <c r="K103" s="20" t="s">
        <v>4</v>
      </c>
      <c r="L103" s="20" t="s">
        <v>3</v>
      </c>
      <c r="M103" s="20" t="s">
        <v>2</v>
      </c>
      <c r="N103" s="20" t="s">
        <v>8</v>
      </c>
      <c r="O103" s="11" t="s">
        <v>17</v>
      </c>
      <c r="P103" s="4">
        <v>8.3333333333333339</v>
      </c>
    </row>
    <row r="104" spans="1:16" s="5" customFormat="1" ht="42" customHeight="1">
      <c r="A104" s="2">
        <v>102</v>
      </c>
      <c r="B104" s="17">
        <v>2558720224</v>
      </c>
      <c r="C104" s="17">
        <v>250371611205</v>
      </c>
      <c r="D104" s="18" t="s">
        <v>496</v>
      </c>
      <c r="E104" s="17" t="s">
        <v>22</v>
      </c>
      <c r="F104" s="19" t="s">
        <v>15</v>
      </c>
      <c r="G104" s="19" t="s">
        <v>34</v>
      </c>
      <c r="H104" s="20" t="s">
        <v>2</v>
      </c>
      <c r="I104" s="20" t="s">
        <v>8</v>
      </c>
      <c r="J104" s="20" t="s">
        <v>2</v>
      </c>
      <c r="K104" s="20" t="s">
        <v>2</v>
      </c>
      <c r="L104" s="20" t="s">
        <v>8</v>
      </c>
      <c r="M104" s="20" t="s">
        <v>8</v>
      </c>
      <c r="N104" s="20" t="s">
        <v>8</v>
      </c>
      <c r="O104" s="11" t="s">
        <v>17</v>
      </c>
      <c r="P104" s="4">
        <v>9.4444444444444446</v>
      </c>
    </row>
    <row r="105" spans="1:16" s="5" customFormat="1" ht="42" customHeight="1">
      <c r="A105" s="2">
        <v>103</v>
      </c>
      <c r="B105" s="17">
        <v>2558720254</v>
      </c>
      <c r="C105" s="17">
        <v>250371611209</v>
      </c>
      <c r="D105" s="18" t="s">
        <v>497</v>
      </c>
      <c r="E105" s="17" t="s">
        <v>22</v>
      </c>
      <c r="F105" s="19" t="s">
        <v>15</v>
      </c>
      <c r="G105" s="19" t="s">
        <v>34</v>
      </c>
      <c r="H105" s="20" t="s">
        <v>2</v>
      </c>
      <c r="I105" s="20" t="s">
        <v>4</v>
      </c>
      <c r="J105" s="20" t="s">
        <v>4</v>
      </c>
      <c r="K105" s="20" t="s">
        <v>4</v>
      </c>
      <c r="L105" s="20" t="s">
        <v>3</v>
      </c>
      <c r="M105" s="20" t="s">
        <v>2</v>
      </c>
      <c r="N105" s="20" t="s">
        <v>8</v>
      </c>
      <c r="O105" s="11" t="s">
        <v>17</v>
      </c>
      <c r="P105" s="4">
        <v>7.7777777777777777</v>
      </c>
    </row>
    <row r="106" spans="1:16" s="5" customFormat="1" ht="42" customHeight="1">
      <c r="A106" s="2">
        <v>104</v>
      </c>
      <c r="B106" s="17">
        <v>2558720230</v>
      </c>
      <c r="C106" s="17">
        <v>250371611210</v>
      </c>
      <c r="D106" s="18" t="s">
        <v>498</v>
      </c>
      <c r="E106" s="17" t="s">
        <v>22</v>
      </c>
      <c r="F106" s="19" t="s">
        <v>15</v>
      </c>
      <c r="G106" s="19" t="s">
        <v>34</v>
      </c>
      <c r="H106" s="20" t="s">
        <v>2</v>
      </c>
      <c r="I106" s="20" t="s">
        <v>2</v>
      </c>
      <c r="J106" s="20" t="s">
        <v>3</v>
      </c>
      <c r="K106" s="20" t="s">
        <v>3</v>
      </c>
      <c r="L106" s="20" t="s">
        <v>2</v>
      </c>
      <c r="M106" s="20" t="s">
        <v>2</v>
      </c>
      <c r="N106" s="20" t="s">
        <v>8</v>
      </c>
      <c r="O106" s="11" t="s">
        <v>17</v>
      </c>
      <c r="P106" s="4">
        <v>8.6666666666666661</v>
      </c>
    </row>
    <row r="107" spans="1:16" s="5" customFormat="1" ht="42" customHeight="1">
      <c r="A107" s="2">
        <v>105</v>
      </c>
      <c r="B107" s="17">
        <v>2558720112</v>
      </c>
      <c r="C107" s="17">
        <v>250371611212</v>
      </c>
      <c r="D107" s="18" t="s">
        <v>499</v>
      </c>
      <c r="E107" s="17" t="s">
        <v>22</v>
      </c>
      <c r="F107" s="19" t="s">
        <v>15</v>
      </c>
      <c r="G107" s="19" t="s">
        <v>34</v>
      </c>
      <c r="H107" s="20" t="s">
        <v>2</v>
      </c>
      <c r="I107" s="20" t="s">
        <v>8</v>
      </c>
      <c r="J107" s="20" t="s">
        <v>4</v>
      </c>
      <c r="K107" s="20" t="s">
        <v>2</v>
      </c>
      <c r="L107" s="20" t="s">
        <v>2</v>
      </c>
      <c r="M107" s="20" t="s">
        <v>8</v>
      </c>
      <c r="N107" s="20" t="s">
        <v>8</v>
      </c>
      <c r="O107" s="11" t="s">
        <v>17</v>
      </c>
      <c r="P107" s="4">
        <v>8.8333333333333339</v>
      </c>
    </row>
    <row r="108" spans="1:16" s="5" customFormat="1" ht="42" customHeight="1">
      <c r="A108" s="2">
        <v>106</v>
      </c>
      <c r="B108" s="17">
        <v>2558720145</v>
      </c>
      <c r="C108" s="17">
        <v>250371611213</v>
      </c>
      <c r="D108" s="18" t="s">
        <v>500</v>
      </c>
      <c r="E108" s="17" t="s">
        <v>22</v>
      </c>
      <c r="F108" s="19" t="s">
        <v>15</v>
      </c>
      <c r="G108" s="19" t="s">
        <v>34</v>
      </c>
      <c r="H108" s="20" t="s">
        <v>3</v>
      </c>
      <c r="I108" s="20" t="s">
        <v>3</v>
      </c>
      <c r="J108" s="20" t="s">
        <v>11</v>
      </c>
      <c r="K108" s="20" t="s">
        <v>4</v>
      </c>
      <c r="L108" s="20" t="s">
        <v>5</v>
      </c>
      <c r="M108" s="20" t="s">
        <v>2</v>
      </c>
      <c r="N108" s="20" t="s">
        <v>2</v>
      </c>
      <c r="O108" s="11" t="s">
        <v>17</v>
      </c>
      <c r="P108" s="4">
        <v>6.7222222222222223</v>
      </c>
    </row>
    <row r="109" spans="1:16" s="5" customFormat="1" ht="42" customHeight="1">
      <c r="A109" s="2">
        <v>107</v>
      </c>
      <c r="B109" s="17">
        <v>2558720193</v>
      </c>
      <c r="C109" s="17">
        <v>250371611214</v>
      </c>
      <c r="D109" s="18" t="s">
        <v>501</v>
      </c>
      <c r="E109" s="17" t="s">
        <v>22</v>
      </c>
      <c r="F109" s="19" t="s">
        <v>15</v>
      </c>
      <c r="G109" s="19" t="s">
        <v>34</v>
      </c>
      <c r="H109" s="20" t="s">
        <v>3</v>
      </c>
      <c r="I109" s="20" t="s">
        <v>2</v>
      </c>
      <c r="J109" s="20" t="s">
        <v>5</v>
      </c>
      <c r="K109" s="20" t="s">
        <v>3</v>
      </c>
      <c r="L109" s="20" t="s">
        <v>2</v>
      </c>
      <c r="M109" s="20" t="s">
        <v>8</v>
      </c>
      <c r="N109" s="20" t="s">
        <v>8</v>
      </c>
      <c r="O109" s="11" t="s">
        <v>17</v>
      </c>
      <c r="P109" s="4">
        <v>8.1111111111111107</v>
      </c>
    </row>
    <row r="110" spans="1:16" s="5" customFormat="1" ht="42" customHeight="1">
      <c r="A110" s="2">
        <v>108</v>
      </c>
      <c r="B110" s="17">
        <v>2558720130</v>
      </c>
      <c r="C110" s="17">
        <v>250371611217</v>
      </c>
      <c r="D110" s="18" t="s">
        <v>502</v>
      </c>
      <c r="E110" s="17" t="s">
        <v>22</v>
      </c>
      <c r="F110" s="19" t="s">
        <v>15</v>
      </c>
      <c r="G110" s="19" t="s">
        <v>34</v>
      </c>
      <c r="H110" s="20" t="s">
        <v>2</v>
      </c>
      <c r="I110" s="20" t="s">
        <v>8</v>
      </c>
      <c r="J110" s="20" t="s">
        <v>2</v>
      </c>
      <c r="K110" s="20" t="s">
        <v>3</v>
      </c>
      <c r="L110" s="20" t="s">
        <v>2</v>
      </c>
      <c r="M110" s="20" t="s">
        <v>8</v>
      </c>
      <c r="N110" s="20" t="s">
        <v>8</v>
      </c>
      <c r="O110" s="11" t="s">
        <v>17</v>
      </c>
      <c r="P110" s="4">
        <v>9.1111111111111107</v>
      </c>
    </row>
  </sheetData>
  <autoFilter ref="A1:P110">
    <filterColumn colId="6"/>
    <filterColumn colId="10"/>
    <filterColumn colId="11"/>
    <filterColumn colId="12"/>
    <filterColumn colId="13"/>
    <filterColumn colId="14">
      <filters>
        <filter val="PASS"/>
      </filters>
    </filterColumn>
  </autoFilter>
  <mergeCells count="8">
    <mergeCell ref="G1:G2"/>
    <mergeCell ref="P1:P2"/>
    <mergeCell ref="A1:A2"/>
    <mergeCell ref="B1:B2"/>
    <mergeCell ref="C1:C2"/>
    <mergeCell ref="D1:D2"/>
    <mergeCell ref="E1:E2"/>
    <mergeCell ref="F1:F2"/>
  </mergeCells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P109"/>
  <sheetViews>
    <sheetView zoomScale="85" zoomScaleNormal="85" workbookViewId="0">
      <selection activeCell="L39" sqref="L39"/>
    </sheetView>
  </sheetViews>
  <sheetFormatPr defaultRowHeight="15"/>
  <cols>
    <col min="1" max="1" width="6.5703125" style="6" bestFit="1" customWidth="1"/>
    <col min="2" max="2" width="16.28515625" style="6" customWidth="1"/>
    <col min="3" max="3" width="18.28515625" style="6" bestFit="1" customWidth="1"/>
    <col min="4" max="4" width="44.5703125" style="6" customWidth="1"/>
    <col min="5" max="5" width="12.140625" style="9" customWidth="1"/>
    <col min="6" max="7" width="13.42578125" style="6" customWidth="1"/>
    <col min="8" max="8" width="17.85546875" style="6" customWidth="1"/>
    <col min="9" max="9" width="18.5703125" style="6" customWidth="1"/>
    <col min="10" max="10" width="18.85546875" style="6" customWidth="1"/>
    <col min="11" max="15" width="17.85546875" style="6" customWidth="1"/>
    <col min="16" max="16" width="9.140625" style="7" customWidth="1"/>
    <col min="17" max="16384" width="9.140625" style="6"/>
  </cols>
  <sheetData>
    <row r="1" spans="1:16" s="8" customFormat="1" ht="127.5" customHeight="1">
      <c r="A1" s="53" t="s">
        <v>1</v>
      </c>
      <c r="B1" s="53" t="s">
        <v>16</v>
      </c>
      <c r="C1" s="53" t="s">
        <v>12</v>
      </c>
      <c r="D1" s="53" t="s">
        <v>13</v>
      </c>
      <c r="E1" s="53" t="s">
        <v>14</v>
      </c>
      <c r="F1" s="53" t="s">
        <v>0</v>
      </c>
      <c r="G1" s="53" t="s">
        <v>31</v>
      </c>
      <c r="H1" s="1" t="s">
        <v>78</v>
      </c>
      <c r="I1" s="1" t="s">
        <v>83</v>
      </c>
      <c r="J1" s="1" t="s">
        <v>80</v>
      </c>
      <c r="K1" s="1" t="s">
        <v>391</v>
      </c>
      <c r="L1" s="1" t="s">
        <v>392</v>
      </c>
      <c r="M1" s="1" t="s">
        <v>393</v>
      </c>
      <c r="N1" s="1" t="s">
        <v>394</v>
      </c>
      <c r="O1" s="1" t="s">
        <v>10</v>
      </c>
      <c r="P1" s="55" t="s">
        <v>9</v>
      </c>
    </row>
    <row r="2" spans="1:16" s="8" customFormat="1" ht="29.25" customHeight="1">
      <c r="A2" s="54"/>
      <c r="B2" s="54"/>
      <c r="C2" s="54"/>
      <c r="D2" s="54"/>
      <c r="E2" s="54"/>
      <c r="F2" s="54"/>
      <c r="G2" s="54"/>
      <c r="H2" s="10">
        <v>3</v>
      </c>
      <c r="I2" s="10">
        <v>3</v>
      </c>
      <c r="J2" s="10">
        <v>4</v>
      </c>
      <c r="K2" s="10">
        <v>3</v>
      </c>
      <c r="L2" s="10">
        <v>3</v>
      </c>
      <c r="M2" s="10">
        <v>1</v>
      </c>
      <c r="N2" s="10">
        <v>1</v>
      </c>
      <c r="O2" s="10">
        <f>SUM(H2:N2)</f>
        <v>18</v>
      </c>
      <c r="P2" s="56"/>
    </row>
    <row r="3" spans="1:16" s="5" customFormat="1" ht="42" customHeight="1">
      <c r="A3" s="2">
        <v>1</v>
      </c>
      <c r="B3" s="17">
        <v>2558720114</v>
      </c>
      <c r="C3" s="17">
        <v>250371611002</v>
      </c>
      <c r="D3" s="18" t="s">
        <v>503</v>
      </c>
      <c r="E3" s="17" t="s">
        <v>22</v>
      </c>
      <c r="F3" s="19" t="s">
        <v>15</v>
      </c>
      <c r="G3" s="19" t="s">
        <v>85</v>
      </c>
      <c r="H3" s="20" t="s">
        <v>2</v>
      </c>
      <c r="I3" s="20" t="s">
        <v>3</v>
      </c>
      <c r="J3" s="20" t="s">
        <v>4</v>
      </c>
      <c r="K3" s="20" t="s">
        <v>4</v>
      </c>
      <c r="L3" s="20" t="s">
        <v>3</v>
      </c>
      <c r="M3" s="20" t="s">
        <v>2</v>
      </c>
      <c r="N3" s="20" t="s">
        <v>8</v>
      </c>
      <c r="O3" s="11" t="s">
        <v>17</v>
      </c>
      <c r="P3" s="4">
        <v>7.9444444444444446</v>
      </c>
    </row>
    <row r="4" spans="1:16" s="5" customFormat="1" ht="42" customHeight="1">
      <c r="A4" s="2">
        <v>2</v>
      </c>
      <c r="B4" s="17">
        <v>2558720181</v>
      </c>
      <c r="C4" s="17">
        <v>250371611004</v>
      </c>
      <c r="D4" s="18" t="s">
        <v>504</v>
      </c>
      <c r="E4" s="17" t="s">
        <v>22</v>
      </c>
      <c r="F4" s="19" t="s">
        <v>15</v>
      </c>
      <c r="G4" s="19" t="s">
        <v>85</v>
      </c>
      <c r="H4" s="20" t="s">
        <v>3</v>
      </c>
      <c r="I4" s="20" t="s">
        <v>6</v>
      </c>
      <c r="J4" s="20" t="s">
        <v>5</v>
      </c>
      <c r="K4" s="20" t="s">
        <v>6</v>
      </c>
      <c r="L4" s="20" t="s">
        <v>1517</v>
      </c>
      <c r="M4" s="20" t="s">
        <v>2</v>
      </c>
      <c r="N4" s="20" t="s">
        <v>2</v>
      </c>
      <c r="O4" s="11" t="s">
        <v>1517</v>
      </c>
      <c r="P4" s="4">
        <v>0</v>
      </c>
    </row>
    <row r="5" spans="1:16" s="5" customFormat="1" ht="42" customHeight="1">
      <c r="A5" s="2">
        <v>3</v>
      </c>
      <c r="B5" s="17">
        <v>2558720078</v>
      </c>
      <c r="C5" s="17">
        <v>250371611008</v>
      </c>
      <c r="D5" s="18" t="s">
        <v>505</v>
      </c>
      <c r="E5" s="17" t="s">
        <v>22</v>
      </c>
      <c r="F5" s="19" t="s">
        <v>15</v>
      </c>
      <c r="G5" s="19" t="s">
        <v>85</v>
      </c>
      <c r="H5" s="20" t="s">
        <v>3</v>
      </c>
      <c r="I5" s="20" t="s">
        <v>2</v>
      </c>
      <c r="J5" s="20" t="s">
        <v>2</v>
      </c>
      <c r="K5" s="20" t="s">
        <v>2</v>
      </c>
      <c r="L5" s="20" t="s">
        <v>2</v>
      </c>
      <c r="M5" s="20" t="s">
        <v>8</v>
      </c>
      <c r="N5" s="20" t="s">
        <v>8</v>
      </c>
      <c r="O5" s="11" t="s">
        <v>17</v>
      </c>
      <c r="P5" s="4">
        <v>8.9444444444444446</v>
      </c>
    </row>
    <row r="6" spans="1:16" s="5" customFormat="1" ht="42" customHeight="1">
      <c r="A6" s="2">
        <v>4</v>
      </c>
      <c r="B6" s="17">
        <v>2558720180</v>
      </c>
      <c r="C6" s="17">
        <v>250371611012</v>
      </c>
      <c r="D6" s="18" t="s">
        <v>506</v>
      </c>
      <c r="E6" s="17" t="s">
        <v>22</v>
      </c>
      <c r="F6" s="19" t="s">
        <v>15</v>
      </c>
      <c r="G6" s="19" t="s">
        <v>85</v>
      </c>
      <c r="H6" s="20" t="s">
        <v>5</v>
      </c>
      <c r="I6" s="20" t="s">
        <v>6</v>
      </c>
      <c r="J6" s="20" t="s">
        <v>4</v>
      </c>
      <c r="K6" s="20" t="s">
        <v>4</v>
      </c>
      <c r="L6" s="20" t="s">
        <v>11</v>
      </c>
      <c r="M6" s="20" t="s">
        <v>2</v>
      </c>
      <c r="N6" s="20" t="s">
        <v>2</v>
      </c>
      <c r="O6" s="11" t="s">
        <v>17</v>
      </c>
      <c r="P6" s="4">
        <v>6.2222222222222223</v>
      </c>
    </row>
    <row r="7" spans="1:16" s="5" customFormat="1" ht="42" customHeight="1">
      <c r="A7" s="2">
        <v>5</v>
      </c>
      <c r="B7" s="17">
        <v>2558720088</v>
      </c>
      <c r="C7" s="17">
        <v>250371611013</v>
      </c>
      <c r="D7" s="18" t="s">
        <v>507</v>
      </c>
      <c r="E7" s="17" t="s">
        <v>22</v>
      </c>
      <c r="F7" s="19" t="s">
        <v>15</v>
      </c>
      <c r="G7" s="19" t="s">
        <v>85</v>
      </c>
      <c r="H7" s="20" t="s">
        <v>4</v>
      </c>
      <c r="I7" s="20" t="s">
        <v>2</v>
      </c>
      <c r="J7" s="20" t="s">
        <v>2</v>
      </c>
      <c r="K7" s="20" t="s">
        <v>3</v>
      </c>
      <c r="L7" s="20" t="s">
        <v>3</v>
      </c>
      <c r="M7" s="20" t="s">
        <v>8</v>
      </c>
      <c r="N7" s="20" t="s">
        <v>8</v>
      </c>
      <c r="O7" s="11" t="s">
        <v>17</v>
      </c>
      <c r="P7" s="4">
        <v>8.4444444444444446</v>
      </c>
    </row>
    <row r="8" spans="1:16" s="5" customFormat="1" ht="42" customHeight="1">
      <c r="A8" s="2">
        <v>6</v>
      </c>
      <c r="B8" s="17">
        <v>2558720046</v>
      </c>
      <c r="C8" s="17">
        <v>250371611014</v>
      </c>
      <c r="D8" s="18" t="s">
        <v>508</v>
      </c>
      <c r="E8" s="17" t="s">
        <v>22</v>
      </c>
      <c r="F8" s="19" t="s">
        <v>15</v>
      </c>
      <c r="G8" s="19" t="s">
        <v>85</v>
      </c>
      <c r="H8" s="20" t="s">
        <v>1516</v>
      </c>
      <c r="I8" s="20" t="s">
        <v>1516</v>
      </c>
      <c r="J8" s="20" t="s">
        <v>1516</v>
      </c>
      <c r="K8" s="20" t="s">
        <v>1516</v>
      </c>
      <c r="L8" s="20" t="s">
        <v>1516</v>
      </c>
      <c r="M8" s="20" t="s">
        <v>1516</v>
      </c>
      <c r="N8" s="20" t="s">
        <v>1516</v>
      </c>
      <c r="O8" s="11" t="s">
        <v>1516</v>
      </c>
      <c r="P8" s="4">
        <v>0</v>
      </c>
    </row>
    <row r="9" spans="1:16" s="5" customFormat="1" ht="42" customHeight="1">
      <c r="A9" s="2">
        <v>7</v>
      </c>
      <c r="B9" s="17">
        <v>2558720033</v>
      </c>
      <c r="C9" s="17">
        <v>250371611028</v>
      </c>
      <c r="D9" s="18" t="s">
        <v>509</v>
      </c>
      <c r="E9" s="17" t="s">
        <v>22</v>
      </c>
      <c r="F9" s="19" t="s">
        <v>15</v>
      </c>
      <c r="G9" s="19" t="s">
        <v>85</v>
      </c>
      <c r="H9" s="20" t="s">
        <v>4</v>
      </c>
      <c r="I9" s="20" t="s">
        <v>4</v>
      </c>
      <c r="J9" s="20" t="s">
        <v>5</v>
      </c>
      <c r="K9" s="20" t="s">
        <v>4</v>
      </c>
      <c r="L9" s="20" t="s">
        <v>5</v>
      </c>
      <c r="M9" s="20" t="s">
        <v>2</v>
      </c>
      <c r="N9" s="20" t="s">
        <v>8</v>
      </c>
      <c r="O9" s="11" t="s">
        <v>17</v>
      </c>
      <c r="P9" s="4">
        <v>6.8888888888888893</v>
      </c>
    </row>
    <row r="10" spans="1:16" s="5" customFormat="1" ht="42" customHeight="1">
      <c r="A10" s="2">
        <v>8</v>
      </c>
      <c r="B10" s="17">
        <v>2558720020</v>
      </c>
      <c r="C10" s="17">
        <v>250371611032</v>
      </c>
      <c r="D10" s="18" t="s">
        <v>510</v>
      </c>
      <c r="E10" s="17" t="s">
        <v>22</v>
      </c>
      <c r="F10" s="19" t="s">
        <v>15</v>
      </c>
      <c r="G10" s="19" t="s">
        <v>85</v>
      </c>
      <c r="H10" s="20" t="s">
        <v>4</v>
      </c>
      <c r="I10" s="20" t="s">
        <v>6</v>
      </c>
      <c r="J10" s="20" t="s">
        <v>6</v>
      </c>
      <c r="K10" s="20" t="s">
        <v>7</v>
      </c>
      <c r="L10" s="20" t="s">
        <v>4</v>
      </c>
      <c r="M10" s="20" t="s">
        <v>2</v>
      </c>
      <c r="N10" s="20" t="s">
        <v>2</v>
      </c>
      <c r="O10" s="11" t="s">
        <v>7</v>
      </c>
      <c r="P10" s="4">
        <v>0</v>
      </c>
    </row>
    <row r="11" spans="1:16" s="5" customFormat="1" ht="42" customHeight="1">
      <c r="A11" s="2">
        <v>9</v>
      </c>
      <c r="B11" s="17">
        <v>2558720125</v>
      </c>
      <c r="C11" s="17">
        <v>250371611035</v>
      </c>
      <c r="D11" s="18" t="s">
        <v>511</v>
      </c>
      <c r="E11" s="17" t="s">
        <v>22</v>
      </c>
      <c r="F11" s="19" t="s">
        <v>15</v>
      </c>
      <c r="G11" s="19" t="s">
        <v>85</v>
      </c>
      <c r="H11" s="20" t="s">
        <v>3</v>
      </c>
      <c r="I11" s="20" t="s">
        <v>4</v>
      </c>
      <c r="J11" s="20" t="s">
        <v>2</v>
      </c>
      <c r="K11" s="20" t="s">
        <v>3</v>
      </c>
      <c r="L11" s="20" t="s">
        <v>2</v>
      </c>
      <c r="M11" s="20" t="s">
        <v>8</v>
      </c>
      <c r="N11" s="20" t="s">
        <v>8</v>
      </c>
      <c r="O11" s="11" t="s">
        <v>17</v>
      </c>
      <c r="P11" s="4">
        <v>8.4444444444444446</v>
      </c>
    </row>
    <row r="12" spans="1:16" s="5" customFormat="1" ht="42" customHeight="1">
      <c r="A12" s="2">
        <v>10</v>
      </c>
      <c r="B12" s="17">
        <v>2558720021</v>
      </c>
      <c r="C12" s="17">
        <v>250371611037</v>
      </c>
      <c r="D12" s="18" t="s">
        <v>512</v>
      </c>
      <c r="E12" s="17" t="s">
        <v>22</v>
      </c>
      <c r="F12" s="19" t="s">
        <v>15</v>
      </c>
      <c r="G12" s="19" t="s">
        <v>85</v>
      </c>
      <c r="H12" s="20" t="s">
        <v>2</v>
      </c>
      <c r="I12" s="20" t="s">
        <v>8</v>
      </c>
      <c r="J12" s="20" t="s">
        <v>2</v>
      </c>
      <c r="K12" s="20" t="s">
        <v>8</v>
      </c>
      <c r="L12" s="20" t="s">
        <v>2</v>
      </c>
      <c r="M12" s="20" t="s">
        <v>8</v>
      </c>
      <c r="N12" s="20" t="s">
        <v>8</v>
      </c>
      <c r="O12" s="11" t="s">
        <v>17</v>
      </c>
      <c r="P12" s="4">
        <v>9.4444444444444446</v>
      </c>
    </row>
    <row r="13" spans="1:16" s="5" customFormat="1" ht="42" customHeight="1">
      <c r="A13" s="2">
        <v>11</v>
      </c>
      <c r="B13" s="17">
        <v>2558720016</v>
      </c>
      <c r="C13" s="17">
        <v>250371611039</v>
      </c>
      <c r="D13" s="18" t="s">
        <v>513</v>
      </c>
      <c r="E13" s="17" t="s">
        <v>22</v>
      </c>
      <c r="F13" s="19" t="s">
        <v>15</v>
      </c>
      <c r="G13" s="19" t="s">
        <v>85</v>
      </c>
      <c r="H13" s="20" t="s">
        <v>3</v>
      </c>
      <c r="I13" s="20" t="s">
        <v>4</v>
      </c>
      <c r="J13" s="20" t="s">
        <v>3</v>
      </c>
      <c r="K13" s="20" t="s">
        <v>3</v>
      </c>
      <c r="L13" s="20" t="s">
        <v>2</v>
      </c>
      <c r="M13" s="20" t="s">
        <v>8</v>
      </c>
      <c r="N13" s="20" t="s">
        <v>8</v>
      </c>
      <c r="O13" s="11" t="s">
        <v>17</v>
      </c>
      <c r="P13" s="4">
        <v>8.2222222222222214</v>
      </c>
    </row>
    <row r="14" spans="1:16" s="5" customFormat="1" ht="42" customHeight="1">
      <c r="A14" s="2">
        <v>12</v>
      </c>
      <c r="B14" s="17">
        <v>2558720017</v>
      </c>
      <c r="C14" s="17">
        <v>250371611040</v>
      </c>
      <c r="D14" s="18" t="s">
        <v>514</v>
      </c>
      <c r="E14" s="17" t="s">
        <v>22</v>
      </c>
      <c r="F14" s="19" t="s">
        <v>15</v>
      </c>
      <c r="G14" s="19" t="s">
        <v>85</v>
      </c>
      <c r="H14" s="20" t="s">
        <v>3</v>
      </c>
      <c r="I14" s="20" t="s">
        <v>8</v>
      </c>
      <c r="J14" s="20" t="s">
        <v>2</v>
      </c>
      <c r="K14" s="20" t="s">
        <v>3</v>
      </c>
      <c r="L14" s="20" t="s">
        <v>2</v>
      </c>
      <c r="M14" s="20" t="s">
        <v>8</v>
      </c>
      <c r="N14" s="20" t="s">
        <v>8</v>
      </c>
      <c r="O14" s="11" t="s">
        <v>17</v>
      </c>
      <c r="P14" s="4">
        <v>8.9444444444444446</v>
      </c>
    </row>
    <row r="15" spans="1:16" s="5" customFormat="1" ht="42" customHeight="1">
      <c r="A15" s="2">
        <v>13</v>
      </c>
      <c r="B15" s="17">
        <v>2558720122</v>
      </c>
      <c r="C15" s="17">
        <v>250371611043</v>
      </c>
      <c r="D15" s="18" t="s">
        <v>515</v>
      </c>
      <c r="E15" s="17" t="s">
        <v>22</v>
      </c>
      <c r="F15" s="19" t="s">
        <v>15</v>
      </c>
      <c r="G15" s="19" t="s">
        <v>85</v>
      </c>
      <c r="H15" s="20" t="s">
        <v>3</v>
      </c>
      <c r="I15" s="20" t="s">
        <v>2</v>
      </c>
      <c r="J15" s="20" t="s">
        <v>4</v>
      </c>
      <c r="K15" s="20" t="s">
        <v>3</v>
      </c>
      <c r="L15" s="20" t="s">
        <v>3</v>
      </c>
      <c r="M15" s="20" t="s">
        <v>8</v>
      </c>
      <c r="N15" s="20" t="s">
        <v>8</v>
      </c>
      <c r="O15" s="11" t="s">
        <v>17</v>
      </c>
      <c r="P15" s="4">
        <v>8.1666666666666661</v>
      </c>
    </row>
    <row r="16" spans="1:16" s="5" customFormat="1" ht="42" customHeight="1">
      <c r="A16" s="2">
        <v>14</v>
      </c>
      <c r="B16" s="17">
        <v>2558720022</v>
      </c>
      <c r="C16" s="17">
        <v>250371611044</v>
      </c>
      <c r="D16" s="18" t="s">
        <v>516</v>
      </c>
      <c r="E16" s="17" t="s">
        <v>22</v>
      </c>
      <c r="F16" s="19" t="s">
        <v>15</v>
      </c>
      <c r="G16" s="19" t="s">
        <v>85</v>
      </c>
      <c r="H16" s="20" t="s">
        <v>11</v>
      </c>
      <c r="I16" s="20" t="s">
        <v>3</v>
      </c>
      <c r="J16" s="20" t="s">
        <v>6</v>
      </c>
      <c r="K16" s="20" t="s">
        <v>4</v>
      </c>
      <c r="L16" s="20" t="s">
        <v>6</v>
      </c>
      <c r="M16" s="20" t="s">
        <v>2</v>
      </c>
      <c r="N16" s="20" t="s">
        <v>2</v>
      </c>
      <c r="O16" s="11" t="s">
        <v>17</v>
      </c>
      <c r="P16" s="4">
        <v>6.1111111111111107</v>
      </c>
    </row>
    <row r="17" spans="1:16" s="5" customFormat="1" ht="42" customHeight="1">
      <c r="A17" s="2">
        <v>15</v>
      </c>
      <c r="B17" s="17">
        <v>2558720185</v>
      </c>
      <c r="C17" s="17">
        <v>250371611045</v>
      </c>
      <c r="D17" s="18" t="s">
        <v>517</v>
      </c>
      <c r="E17" s="17" t="s">
        <v>22</v>
      </c>
      <c r="F17" s="19" t="s">
        <v>15</v>
      </c>
      <c r="G17" s="19" t="s">
        <v>85</v>
      </c>
      <c r="H17" s="20" t="s">
        <v>7</v>
      </c>
      <c r="I17" s="20" t="s">
        <v>3</v>
      </c>
      <c r="J17" s="20" t="s">
        <v>6</v>
      </c>
      <c r="K17" s="20" t="s">
        <v>4</v>
      </c>
      <c r="L17" s="20" t="s">
        <v>11</v>
      </c>
      <c r="M17" s="20" t="s">
        <v>3</v>
      </c>
      <c r="N17" s="20" t="s">
        <v>3</v>
      </c>
      <c r="O17" s="11" t="s">
        <v>7</v>
      </c>
      <c r="P17" s="4">
        <v>0</v>
      </c>
    </row>
    <row r="18" spans="1:16" s="5" customFormat="1" ht="42" customHeight="1">
      <c r="A18" s="2">
        <v>16</v>
      </c>
      <c r="B18" s="17">
        <v>2558720025</v>
      </c>
      <c r="C18" s="17">
        <v>250371611046</v>
      </c>
      <c r="D18" s="18" t="s">
        <v>518</v>
      </c>
      <c r="E18" s="17" t="s">
        <v>22</v>
      </c>
      <c r="F18" s="19" t="s">
        <v>15</v>
      </c>
      <c r="G18" s="19" t="s">
        <v>85</v>
      </c>
      <c r="H18" s="20" t="s">
        <v>7</v>
      </c>
      <c r="I18" s="20" t="s">
        <v>2</v>
      </c>
      <c r="J18" s="20" t="s">
        <v>11</v>
      </c>
      <c r="K18" s="20" t="s">
        <v>3</v>
      </c>
      <c r="L18" s="20" t="s">
        <v>4</v>
      </c>
      <c r="M18" s="20" t="s">
        <v>2</v>
      </c>
      <c r="N18" s="20" t="s">
        <v>2</v>
      </c>
      <c r="O18" s="11" t="s">
        <v>7</v>
      </c>
      <c r="P18" s="4">
        <v>0</v>
      </c>
    </row>
    <row r="19" spans="1:16" s="5" customFormat="1" ht="42" customHeight="1">
      <c r="A19" s="2">
        <v>17</v>
      </c>
      <c r="B19" s="17">
        <v>2558720192</v>
      </c>
      <c r="C19" s="17">
        <v>250371611047</v>
      </c>
      <c r="D19" s="18" t="s">
        <v>519</v>
      </c>
      <c r="E19" s="17" t="s">
        <v>22</v>
      </c>
      <c r="F19" s="19" t="s">
        <v>15</v>
      </c>
      <c r="G19" s="19" t="s">
        <v>85</v>
      </c>
      <c r="H19" s="20" t="s">
        <v>8</v>
      </c>
      <c r="I19" s="20" t="s">
        <v>8</v>
      </c>
      <c r="J19" s="20" t="s">
        <v>8</v>
      </c>
      <c r="K19" s="20" t="s">
        <v>2</v>
      </c>
      <c r="L19" s="20" t="s">
        <v>8</v>
      </c>
      <c r="M19" s="20" t="s">
        <v>8</v>
      </c>
      <c r="N19" s="20" t="s">
        <v>8</v>
      </c>
      <c r="O19" s="11" t="s">
        <v>17</v>
      </c>
      <c r="P19" s="4">
        <v>9.8333333333333339</v>
      </c>
    </row>
    <row r="20" spans="1:16" s="5" customFormat="1" ht="42" customHeight="1">
      <c r="A20" s="2">
        <v>18</v>
      </c>
      <c r="B20" s="17">
        <v>2558720246</v>
      </c>
      <c r="C20" s="17">
        <v>250371611048</v>
      </c>
      <c r="D20" s="18" t="s">
        <v>520</v>
      </c>
      <c r="E20" s="17" t="s">
        <v>22</v>
      </c>
      <c r="F20" s="19" t="s">
        <v>15</v>
      </c>
      <c r="G20" s="19" t="s">
        <v>85</v>
      </c>
      <c r="H20" s="20" t="s">
        <v>2</v>
      </c>
      <c r="I20" s="20" t="s">
        <v>8</v>
      </c>
      <c r="J20" s="20" t="s">
        <v>8</v>
      </c>
      <c r="K20" s="20" t="s">
        <v>2</v>
      </c>
      <c r="L20" s="20" t="s">
        <v>2</v>
      </c>
      <c r="M20" s="20" t="s">
        <v>8</v>
      </c>
      <c r="N20" s="20" t="s">
        <v>8</v>
      </c>
      <c r="O20" s="11" t="s">
        <v>17</v>
      </c>
      <c r="P20" s="4">
        <v>9.5</v>
      </c>
    </row>
    <row r="21" spans="1:16" s="5" customFormat="1" ht="42" customHeight="1">
      <c r="A21" s="2">
        <v>19</v>
      </c>
      <c r="B21" s="17">
        <v>2558720042</v>
      </c>
      <c r="C21" s="17">
        <v>250371611049</v>
      </c>
      <c r="D21" s="18" t="s">
        <v>521</v>
      </c>
      <c r="E21" s="17" t="s">
        <v>22</v>
      </c>
      <c r="F21" s="19" t="s">
        <v>15</v>
      </c>
      <c r="G21" s="19" t="s">
        <v>85</v>
      </c>
      <c r="H21" s="20" t="s">
        <v>3</v>
      </c>
      <c r="I21" s="20" t="s">
        <v>2</v>
      </c>
      <c r="J21" s="20" t="s">
        <v>4</v>
      </c>
      <c r="K21" s="20" t="s">
        <v>4</v>
      </c>
      <c r="L21" s="20" t="s">
        <v>5</v>
      </c>
      <c r="M21" s="20" t="s">
        <v>2</v>
      </c>
      <c r="N21" s="20" t="s">
        <v>2</v>
      </c>
      <c r="O21" s="11" t="s">
        <v>17</v>
      </c>
      <c r="P21" s="4">
        <v>7.5555555555555554</v>
      </c>
    </row>
    <row r="22" spans="1:16" s="5" customFormat="1" ht="42" customHeight="1">
      <c r="A22" s="2">
        <v>20</v>
      </c>
      <c r="B22" s="17">
        <v>2558720189</v>
      </c>
      <c r="C22" s="17">
        <v>250371611051</v>
      </c>
      <c r="D22" s="18" t="s">
        <v>522</v>
      </c>
      <c r="E22" s="17" t="s">
        <v>22</v>
      </c>
      <c r="F22" s="19" t="s">
        <v>15</v>
      </c>
      <c r="G22" s="19" t="s">
        <v>85</v>
      </c>
      <c r="H22" s="20" t="s">
        <v>6</v>
      </c>
      <c r="I22" s="20" t="s">
        <v>2</v>
      </c>
      <c r="J22" s="20" t="s">
        <v>3</v>
      </c>
      <c r="K22" s="20" t="s">
        <v>3</v>
      </c>
      <c r="L22" s="20" t="s">
        <v>4</v>
      </c>
      <c r="M22" s="20" t="s">
        <v>2</v>
      </c>
      <c r="N22" s="20" t="s">
        <v>2</v>
      </c>
      <c r="O22" s="11" t="s">
        <v>17</v>
      </c>
      <c r="P22" s="4">
        <v>7.6111111111111107</v>
      </c>
    </row>
    <row r="23" spans="1:16" s="5" customFormat="1" ht="42" customHeight="1">
      <c r="A23" s="2">
        <v>21</v>
      </c>
      <c r="B23" s="17">
        <v>2558720132</v>
      </c>
      <c r="C23" s="17">
        <v>250371611052</v>
      </c>
      <c r="D23" s="18" t="s">
        <v>523</v>
      </c>
      <c r="E23" s="17" t="s">
        <v>22</v>
      </c>
      <c r="F23" s="19" t="s">
        <v>15</v>
      </c>
      <c r="G23" s="19" t="s">
        <v>85</v>
      </c>
      <c r="H23" s="20" t="s">
        <v>3</v>
      </c>
      <c r="I23" s="20" t="s">
        <v>2</v>
      </c>
      <c r="J23" s="20" t="s">
        <v>2</v>
      </c>
      <c r="K23" s="20" t="s">
        <v>4</v>
      </c>
      <c r="L23" s="20" t="s">
        <v>4</v>
      </c>
      <c r="M23" s="20" t="s">
        <v>2</v>
      </c>
      <c r="N23" s="20" t="s">
        <v>2</v>
      </c>
      <c r="O23" s="11" t="s">
        <v>17</v>
      </c>
      <c r="P23" s="4">
        <v>8.1666666666666661</v>
      </c>
    </row>
    <row r="24" spans="1:16" s="5" customFormat="1" ht="42" customHeight="1">
      <c r="A24" s="2">
        <v>22</v>
      </c>
      <c r="B24" s="17">
        <v>2558720234</v>
      </c>
      <c r="C24" s="17">
        <v>250371611053</v>
      </c>
      <c r="D24" s="18" t="s">
        <v>524</v>
      </c>
      <c r="E24" s="17" t="s">
        <v>22</v>
      </c>
      <c r="F24" s="19" t="s">
        <v>15</v>
      </c>
      <c r="G24" s="19" t="s">
        <v>85</v>
      </c>
      <c r="H24" s="20" t="s">
        <v>2</v>
      </c>
      <c r="I24" s="20" t="s">
        <v>2</v>
      </c>
      <c r="J24" s="20" t="s">
        <v>2</v>
      </c>
      <c r="K24" s="20" t="s">
        <v>2</v>
      </c>
      <c r="L24" s="20" t="s">
        <v>2</v>
      </c>
      <c r="M24" s="20" t="s">
        <v>2</v>
      </c>
      <c r="N24" s="20" t="s">
        <v>8</v>
      </c>
      <c r="O24" s="11" t="s">
        <v>17</v>
      </c>
      <c r="P24" s="4">
        <v>9.0555555555555554</v>
      </c>
    </row>
    <row r="25" spans="1:16" s="5" customFormat="1" ht="42" customHeight="1">
      <c r="A25" s="2">
        <v>23</v>
      </c>
      <c r="B25" s="17">
        <v>2558720093</v>
      </c>
      <c r="C25" s="17">
        <v>250371611056</v>
      </c>
      <c r="D25" s="18" t="s">
        <v>525</v>
      </c>
      <c r="E25" s="17" t="s">
        <v>22</v>
      </c>
      <c r="F25" s="19" t="s">
        <v>15</v>
      </c>
      <c r="G25" s="19" t="s">
        <v>85</v>
      </c>
      <c r="H25" s="20" t="s">
        <v>2</v>
      </c>
      <c r="I25" s="20" t="s">
        <v>2</v>
      </c>
      <c r="J25" s="20" t="s">
        <v>2</v>
      </c>
      <c r="K25" s="20" t="s">
        <v>3</v>
      </c>
      <c r="L25" s="20" t="s">
        <v>2</v>
      </c>
      <c r="M25" s="20" t="s">
        <v>8</v>
      </c>
      <c r="N25" s="20" t="s">
        <v>8</v>
      </c>
      <c r="O25" s="11" t="s">
        <v>17</v>
      </c>
      <c r="P25" s="4">
        <v>8.9444444444444446</v>
      </c>
    </row>
    <row r="26" spans="1:16" s="5" customFormat="1" ht="42" customHeight="1">
      <c r="A26" s="2">
        <v>24</v>
      </c>
      <c r="B26" s="17">
        <v>2558720201</v>
      </c>
      <c r="C26" s="17">
        <v>250371611057</v>
      </c>
      <c r="D26" s="18" t="s">
        <v>526</v>
      </c>
      <c r="E26" s="17" t="s">
        <v>22</v>
      </c>
      <c r="F26" s="19" t="s">
        <v>15</v>
      </c>
      <c r="G26" s="19" t="s">
        <v>85</v>
      </c>
      <c r="H26" s="20" t="s">
        <v>2</v>
      </c>
      <c r="I26" s="20" t="s">
        <v>2</v>
      </c>
      <c r="J26" s="20" t="s">
        <v>3</v>
      </c>
      <c r="K26" s="20" t="s">
        <v>3</v>
      </c>
      <c r="L26" s="20" t="s">
        <v>2</v>
      </c>
      <c r="M26" s="20" t="s">
        <v>8</v>
      </c>
      <c r="N26" s="20" t="s">
        <v>8</v>
      </c>
      <c r="O26" s="11" t="s">
        <v>17</v>
      </c>
      <c r="P26" s="4">
        <v>8.7222222222222214</v>
      </c>
    </row>
    <row r="27" spans="1:16" s="5" customFormat="1" ht="42" customHeight="1">
      <c r="A27" s="2">
        <v>25</v>
      </c>
      <c r="B27" s="17">
        <v>2558720136</v>
      </c>
      <c r="C27" s="17">
        <v>250371611058</v>
      </c>
      <c r="D27" s="18" t="s">
        <v>527</v>
      </c>
      <c r="E27" s="17" t="s">
        <v>22</v>
      </c>
      <c r="F27" s="19" t="s">
        <v>15</v>
      </c>
      <c r="G27" s="19" t="s">
        <v>85</v>
      </c>
      <c r="H27" s="20" t="s">
        <v>2</v>
      </c>
      <c r="I27" s="20" t="s">
        <v>2</v>
      </c>
      <c r="J27" s="20" t="s">
        <v>3</v>
      </c>
      <c r="K27" s="20" t="s">
        <v>3</v>
      </c>
      <c r="L27" s="20" t="s">
        <v>4</v>
      </c>
      <c r="M27" s="20" t="s">
        <v>2</v>
      </c>
      <c r="N27" s="20" t="s">
        <v>8</v>
      </c>
      <c r="O27" s="11" t="s">
        <v>17</v>
      </c>
      <c r="P27" s="4">
        <v>8.3333333333333339</v>
      </c>
    </row>
    <row r="28" spans="1:16" s="5" customFormat="1" ht="42" customHeight="1">
      <c r="A28" s="2">
        <v>26</v>
      </c>
      <c r="B28" s="17">
        <v>2558720222</v>
      </c>
      <c r="C28" s="17">
        <v>250371611059</v>
      </c>
      <c r="D28" s="18" t="s">
        <v>528</v>
      </c>
      <c r="E28" s="17" t="s">
        <v>22</v>
      </c>
      <c r="F28" s="19" t="s">
        <v>15</v>
      </c>
      <c r="G28" s="19" t="s">
        <v>85</v>
      </c>
      <c r="H28" s="20" t="s">
        <v>2</v>
      </c>
      <c r="I28" s="20" t="s">
        <v>8</v>
      </c>
      <c r="J28" s="20" t="s">
        <v>2</v>
      </c>
      <c r="K28" s="20" t="s">
        <v>3</v>
      </c>
      <c r="L28" s="20" t="s">
        <v>3</v>
      </c>
      <c r="M28" s="20" t="s">
        <v>2</v>
      </c>
      <c r="N28" s="20" t="s">
        <v>8</v>
      </c>
      <c r="O28" s="11" t="s">
        <v>17</v>
      </c>
      <c r="P28" s="4">
        <v>8.8888888888888893</v>
      </c>
    </row>
    <row r="29" spans="1:16" s="5" customFormat="1" ht="42" customHeight="1">
      <c r="A29" s="2">
        <v>27</v>
      </c>
      <c r="B29" s="17">
        <v>2558720087</v>
      </c>
      <c r="C29" s="17">
        <v>250371611061</v>
      </c>
      <c r="D29" s="18" t="s">
        <v>529</v>
      </c>
      <c r="E29" s="17" t="s">
        <v>22</v>
      </c>
      <c r="F29" s="19" t="s">
        <v>15</v>
      </c>
      <c r="G29" s="19" t="s">
        <v>85</v>
      </c>
      <c r="H29" s="20" t="s">
        <v>2</v>
      </c>
      <c r="I29" s="20" t="s">
        <v>3</v>
      </c>
      <c r="J29" s="20" t="s">
        <v>2</v>
      </c>
      <c r="K29" s="20" t="s">
        <v>3</v>
      </c>
      <c r="L29" s="20" t="s">
        <v>2</v>
      </c>
      <c r="M29" s="20" t="s">
        <v>8</v>
      </c>
      <c r="N29" s="20" t="s">
        <v>8</v>
      </c>
      <c r="O29" s="11" t="s">
        <v>17</v>
      </c>
      <c r="P29" s="4">
        <v>8.7777777777777786</v>
      </c>
    </row>
    <row r="30" spans="1:16" s="5" customFormat="1" ht="42" customHeight="1">
      <c r="A30" s="2">
        <v>28</v>
      </c>
      <c r="B30" s="17">
        <v>2558720221</v>
      </c>
      <c r="C30" s="17">
        <v>250371611063</v>
      </c>
      <c r="D30" s="18" t="s">
        <v>530</v>
      </c>
      <c r="E30" s="17" t="s">
        <v>22</v>
      </c>
      <c r="F30" s="19" t="s">
        <v>15</v>
      </c>
      <c r="G30" s="19" t="s">
        <v>85</v>
      </c>
      <c r="H30" s="20" t="s">
        <v>8</v>
      </c>
      <c r="I30" s="20" t="s">
        <v>2</v>
      </c>
      <c r="J30" s="20" t="s">
        <v>8</v>
      </c>
      <c r="K30" s="20" t="s">
        <v>2</v>
      </c>
      <c r="L30" s="20" t="s">
        <v>8</v>
      </c>
      <c r="M30" s="20" t="s">
        <v>8</v>
      </c>
      <c r="N30" s="20" t="s">
        <v>8</v>
      </c>
      <c r="O30" s="11" t="s">
        <v>17</v>
      </c>
      <c r="P30" s="4">
        <v>9.6666666666666661</v>
      </c>
    </row>
    <row r="31" spans="1:16" s="5" customFormat="1" ht="42" customHeight="1">
      <c r="A31" s="2">
        <v>29</v>
      </c>
      <c r="B31" s="17">
        <v>2558720143</v>
      </c>
      <c r="C31" s="17">
        <v>250371611066</v>
      </c>
      <c r="D31" s="18" t="s">
        <v>531</v>
      </c>
      <c r="E31" s="17" t="s">
        <v>22</v>
      </c>
      <c r="F31" s="19" t="s">
        <v>15</v>
      </c>
      <c r="G31" s="19" t="s">
        <v>85</v>
      </c>
      <c r="H31" s="20" t="s">
        <v>3</v>
      </c>
      <c r="I31" s="20" t="s">
        <v>3</v>
      </c>
      <c r="J31" s="20" t="s">
        <v>3</v>
      </c>
      <c r="K31" s="20" t="s">
        <v>4</v>
      </c>
      <c r="L31" s="20" t="s">
        <v>6</v>
      </c>
      <c r="M31" s="20" t="s">
        <v>2</v>
      </c>
      <c r="N31" s="20" t="s">
        <v>2</v>
      </c>
      <c r="O31" s="11" t="s">
        <v>17</v>
      </c>
      <c r="P31" s="4">
        <v>7.4444444444444446</v>
      </c>
    </row>
    <row r="32" spans="1:16" s="5" customFormat="1" ht="42" customHeight="1">
      <c r="A32" s="2">
        <v>30</v>
      </c>
      <c r="B32" s="17">
        <v>2558720127</v>
      </c>
      <c r="C32" s="17">
        <v>250371611069</v>
      </c>
      <c r="D32" s="18" t="s">
        <v>532</v>
      </c>
      <c r="E32" s="17" t="s">
        <v>22</v>
      </c>
      <c r="F32" s="19" t="s">
        <v>15</v>
      </c>
      <c r="G32" s="19" t="s">
        <v>85</v>
      </c>
      <c r="H32" s="20" t="s">
        <v>2</v>
      </c>
      <c r="I32" s="20" t="s">
        <v>8</v>
      </c>
      <c r="J32" s="20" t="s">
        <v>8</v>
      </c>
      <c r="K32" s="20" t="s">
        <v>2</v>
      </c>
      <c r="L32" s="20" t="s">
        <v>8</v>
      </c>
      <c r="M32" s="20" t="s">
        <v>8</v>
      </c>
      <c r="N32" s="20" t="s">
        <v>8</v>
      </c>
      <c r="O32" s="11" t="s">
        <v>17</v>
      </c>
      <c r="P32" s="4">
        <v>9.6666666666666661</v>
      </c>
    </row>
    <row r="33" spans="1:16" s="5" customFormat="1" ht="42" customHeight="1">
      <c r="A33" s="2">
        <v>31</v>
      </c>
      <c r="B33" s="17">
        <v>2558720160</v>
      </c>
      <c r="C33" s="17">
        <v>250371611073</v>
      </c>
      <c r="D33" s="18" t="s">
        <v>533</v>
      </c>
      <c r="E33" s="17" t="s">
        <v>22</v>
      </c>
      <c r="F33" s="19" t="s">
        <v>15</v>
      </c>
      <c r="G33" s="19" t="s">
        <v>85</v>
      </c>
      <c r="H33" s="20" t="s">
        <v>8</v>
      </c>
      <c r="I33" s="20" t="s">
        <v>2</v>
      </c>
      <c r="J33" s="20" t="s">
        <v>2</v>
      </c>
      <c r="K33" s="20" t="s">
        <v>3</v>
      </c>
      <c r="L33" s="20" t="s">
        <v>2</v>
      </c>
      <c r="M33" s="20" t="s">
        <v>8</v>
      </c>
      <c r="N33" s="20" t="s">
        <v>8</v>
      </c>
      <c r="O33" s="11" t="s">
        <v>17</v>
      </c>
      <c r="P33" s="4">
        <v>9.1111111111111107</v>
      </c>
    </row>
    <row r="34" spans="1:16" s="5" customFormat="1" ht="42" customHeight="1">
      <c r="A34" s="2">
        <v>32</v>
      </c>
      <c r="B34" s="17">
        <v>2558720239</v>
      </c>
      <c r="C34" s="17">
        <v>250371611074</v>
      </c>
      <c r="D34" s="18" t="s">
        <v>534</v>
      </c>
      <c r="E34" s="17" t="s">
        <v>22</v>
      </c>
      <c r="F34" s="19" t="s">
        <v>15</v>
      </c>
      <c r="G34" s="19" t="s">
        <v>85</v>
      </c>
      <c r="H34" s="20" t="s">
        <v>4</v>
      </c>
      <c r="I34" s="20" t="s">
        <v>11</v>
      </c>
      <c r="J34" s="20" t="s">
        <v>6</v>
      </c>
      <c r="K34" s="20" t="s">
        <v>6</v>
      </c>
      <c r="L34" s="20" t="s">
        <v>11</v>
      </c>
      <c r="M34" s="20" t="s">
        <v>2</v>
      </c>
      <c r="N34" s="20" t="s">
        <v>2</v>
      </c>
      <c r="O34" s="11" t="s">
        <v>17</v>
      </c>
      <c r="P34" s="4">
        <v>5.4444444444444446</v>
      </c>
    </row>
    <row r="35" spans="1:16" s="5" customFormat="1" ht="42" customHeight="1">
      <c r="A35" s="2">
        <v>33</v>
      </c>
      <c r="B35" s="17">
        <v>2558720055</v>
      </c>
      <c r="C35" s="17">
        <v>250371611075</v>
      </c>
      <c r="D35" s="18" t="s">
        <v>535</v>
      </c>
      <c r="E35" s="17" t="s">
        <v>22</v>
      </c>
      <c r="F35" s="19" t="s">
        <v>15</v>
      </c>
      <c r="G35" s="19" t="s">
        <v>85</v>
      </c>
      <c r="H35" s="20" t="s">
        <v>3</v>
      </c>
      <c r="I35" s="20" t="s">
        <v>5</v>
      </c>
      <c r="J35" s="20" t="s">
        <v>6</v>
      </c>
      <c r="K35" s="20" t="s">
        <v>6</v>
      </c>
      <c r="L35" s="20" t="s">
        <v>6</v>
      </c>
      <c r="M35" s="20" t="s">
        <v>2</v>
      </c>
      <c r="N35" s="20" t="s">
        <v>2</v>
      </c>
      <c r="O35" s="11" t="s">
        <v>17</v>
      </c>
      <c r="P35" s="4">
        <v>6.1111111111111107</v>
      </c>
    </row>
    <row r="36" spans="1:16" s="5" customFormat="1" ht="42" customHeight="1">
      <c r="A36" s="2">
        <v>34</v>
      </c>
      <c r="B36" s="17">
        <v>2558720269</v>
      </c>
      <c r="C36" s="17">
        <v>250371611077</v>
      </c>
      <c r="D36" s="18" t="s">
        <v>536</v>
      </c>
      <c r="E36" s="17" t="s">
        <v>22</v>
      </c>
      <c r="F36" s="19" t="s">
        <v>15</v>
      </c>
      <c r="G36" s="19" t="s">
        <v>85</v>
      </c>
      <c r="H36" s="20" t="s">
        <v>4</v>
      </c>
      <c r="I36" s="20" t="s">
        <v>11</v>
      </c>
      <c r="J36" s="20" t="s">
        <v>11</v>
      </c>
      <c r="K36" s="20" t="s">
        <v>4</v>
      </c>
      <c r="L36" s="20" t="s">
        <v>6</v>
      </c>
      <c r="M36" s="20" t="s">
        <v>3</v>
      </c>
      <c r="N36" s="20" t="s">
        <v>3</v>
      </c>
      <c r="O36" s="11" t="s">
        <v>17</v>
      </c>
      <c r="P36" s="4">
        <v>5.6111111111111107</v>
      </c>
    </row>
    <row r="37" spans="1:16" s="5" customFormat="1" ht="42" customHeight="1">
      <c r="A37" s="2">
        <v>35</v>
      </c>
      <c r="B37" s="17">
        <v>2558720056</v>
      </c>
      <c r="C37" s="17">
        <v>250371611078</v>
      </c>
      <c r="D37" s="18" t="s">
        <v>537</v>
      </c>
      <c r="E37" s="17" t="s">
        <v>22</v>
      </c>
      <c r="F37" s="19" t="s">
        <v>15</v>
      </c>
      <c r="G37" s="19" t="s">
        <v>85</v>
      </c>
      <c r="H37" s="20" t="s">
        <v>2</v>
      </c>
      <c r="I37" s="20" t="s">
        <v>5</v>
      </c>
      <c r="J37" s="20" t="s">
        <v>5</v>
      </c>
      <c r="K37" s="20" t="s">
        <v>6</v>
      </c>
      <c r="L37" s="20" t="s">
        <v>4</v>
      </c>
      <c r="M37" s="20" t="s">
        <v>1516</v>
      </c>
      <c r="N37" s="20" t="s">
        <v>1516</v>
      </c>
      <c r="O37" s="11" t="s">
        <v>1516</v>
      </c>
      <c r="P37" s="4">
        <v>0</v>
      </c>
    </row>
    <row r="38" spans="1:16" s="5" customFormat="1" ht="42" customHeight="1">
      <c r="A38" s="2">
        <v>36</v>
      </c>
      <c r="B38" s="17">
        <v>2558720216</v>
      </c>
      <c r="C38" s="17">
        <v>250371611079</v>
      </c>
      <c r="D38" s="18" t="s">
        <v>538</v>
      </c>
      <c r="E38" s="17" t="s">
        <v>22</v>
      </c>
      <c r="F38" s="19" t="s">
        <v>15</v>
      </c>
      <c r="G38" s="19" t="s">
        <v>85</v>
      </c>
      <c r="H38" s="20" t="s">
        <v>3</v>
      </c>
      <c r="I38" s="20" t="s">
        <v>11</v>
      </c>
      <c r="J38" s="20" t="s">
        <v>11</v>
      </c>
      <c r="K38" s="20" t="s">
        <v>4</v>
      </c>
      <c r="L38" s="20" t="s">
        <v>11</v>
      </c>
      <c r="M38" s="20" t="s">
        <v>2</v>
      </c>
      <c r="N38" s="20" t="s">
        <v>2</v>
      </c>
      <c r="O38" s="11" t="s">
        <v>17</v>
      </c>
      <c r="P38" s="4">
        <v>5.7222222222222223</v>
      </c>
    </row>
    <row r="39" spans="1:16" s="5" customFormat="1" ht="42" customHeight="1">
      <c r="A39" s="2">
        <v>37</v>
      </c>
      <c r="B39" s="17">
        <v>2558720155</v>
      </c>
      <c r="C39" s="17">
        <v>250371611082</v>
      </c>
      <c r="D39" s="18" t="s">
        <v>539</v>
      </c>
      <c r="E39" s="17" t="s">
        <v>22</v>
      </c>
      <c r="F39" s="19" t="s">
        <v>15</v>
      </c>
      <c r="G39" s="19" t="s">
        <v>85</v>
      </c>
      <c r="H39" s="20" t="s">
        <v>4</v>
      </c>
      <c r="I39" s="20" t="s">
        <v>5</v>
      </c>
      <c r="J39" s="20" t="s">
        <v>4</v>
      </c>
      <c r="K39" s="20" t="s">
        <v>5</v>
      </c>
      <c r="L39" s="20" t="s">
        <v>4</v>
      </c>
      <c r="M39" s="20" t="s">
        <v>2</v>
      </c>
      <c r="N39" s="20" t="s">
        <v>2</v>
      </c>
      <c r="O39" s="11" t="s">
        <v>17</v>
      </c>
      <c r="P39" s="4">
        <v>6.8888888888888893</v>
      </c>
    </row>
    <row r="40" spans="1:16" s="5" customFormat="1" ht="42" customHeight="1">
      <c r="A40" s="2">
        <v>38</v>
      </c>
      <c r="B40" s="17">
        <v>2558720079</v>
      </c>
      <c r="C40" s="17">
        <v>250371611083</v>
      </c>
      <c r="D40" s="18" t="s">
        <v>540</v>
      </c>
      <c r="E40" s="17" t="s">
        <v>22</v>
      </c>
      <c r="F40" s="19" t="s">
        <v>15</v>
      </c>
      <c r="G40" s="19" t="s">
        <v>85</v>
      </c>
      <c r="H40" s="20" t="s">
        <v>3</v>
      </c>
      <c r="I40" s="20" t="s">
        <v>4</v>
      </c>
      <c r="J40" s="20" t="s">
        <v>4</v>
      </c>
      <c r="K40" s="20" t="s">
        <v>3</v>
      </c>
      <c r="L40" s="20" t="s">
        <v>3</v>
      </c>
      <c r="M40" s="20" t="s">
        <v>2</v>
      </c>
      <c r="N40" s="20" t="s">
        <v>2</v>
      </c>
      <c r="O40" s="11" t="s">
        <v>17</v>
      </c>
      <c r="P40" s="4">
        <v>7.7222222222222223</v>
      </c>
    </row>
    <row r="41" spans="1:16" s="5" customFormat="1" ht="42" customHeight="1">
      <c r="A41" s="2">
        <v>39</v>
      </c>
      <c r="B41" s="17">
        <v>2558720104</v>
      </c>
      <c r="C41" s="17">
        <v>250371611084</v>
      </c>
      <c r="D41" s="18" t="s">
        <v>541</v>
      </c>
      <c r="E41" s="17" t="s">
        <v>22</v>
      </c>
      <c r="F41" s="19" t="s">
        <v>15</v>
      </c>
      <c r="G41" s="19" t="s">
        <v>85</v>
      </c>
      <c r="H41" s="20" t="s">
        <v>7</v>
      </c>
      <c r="I41" s="20" t="s">
        <v>11</v>
      </c>
      <c r="J41" s="20" t="s">
        <v>11</v>
      </c>
      <c r="K41" s="20" t="s">
        <v>11</v>
      </c>
      <c r="L41" s="20" t="s">
        <v>11</v>
      </c>
      <c r="M41" s="20" t="s">
        <v>3</v>
      </c>
      <c r="N41" s="20" t="s">
        <v>3</v>
      </c>
      <c r="O41" s="11" t="s">
        <v>7</v>
      </c>
      <c r="P41" s="4">
        <v>0</v>
      </c>
    </row>
    <row r="42" spans="1:16" s="5" customFormat="1" ht="42" customHeight="1">
      <c r="A42" s="2">
        <v>40</v>
      </c>
      <c r="B42" s="17">
        <v>2558720163</v>
      </c>
      <c r="C42" s="17">
        <v>250371611085</v>
      </c>
      <c r="D42" s="18" t="s">
        <v>542</v>
      </c>
      <c r="E42" s="17" t="s">
        <v>22</v>
      </c>
      <c r="F42" s="19" t="s">
        <v>15</v>
      </c>
      <c r="G42" s="19" t="s">
        <v>85</v>
      </c>
      <c r="H42" s="20" t="s">
        <v>3</v>
      </c>
      <c r="I42" s="20" t="s">
        <v>3</v>
      </c>
      <c r="J42" s="20" t="s">
        <v>4</v>
      </c>
      <c r="K42" s="20" t="s">
        <v>4</v>
      </c>
      <c r="L42" s="20" t="s">
        <v>3</v>
      </c>
      <c r="M42" s="20" t="s">
        <v>2</v>
      </c>
      <c r="N42" s="20" t="s">
        <v>2</v>
      </c>
      <c r="O42" s="11" t="s">
        <v>17</v>
      </c>
      <c r="P42" s="4">
        <v>7.7222222222222223</v>
      </c>
    </row>
    <row r="43" spans="1:16" s="5" customFormat="1" ht="42" customHeight="1">
      <c r="A43" s="2">
        <v>41</v>
      </c>
      <c r="B43" s="17">
        <v>2558720010</v>
      </c>
      <c r="C43" s="17">
        <v>250371611086</v>
      </c>
      <c r="D43" s="18" t="s">
        <v>543</v>
      </c>
      <c r="E43" s="17" t="s">
        <v>22</v>
      </c>
      <c r="F43" s="19" t="s">
        <v>15</v>
      </c>
      <c r="G43" s="19" t="s">
        <v>85</v>
      </c>
      <c r="H43" s="20" t="s">
        <v>4</v>
      </c>
      <c r="I43" s="20" t="s">
        <v>3</v>
      </c>
      <c r="J43" s="20" t="s">
        <v>4</v>
      </c>
      <c r="K43" s="20" t="s">
        <v>4</v>
      </c>
      <c r="L43" s="20" t="s">
        <v>4</v>
      </c>
      <c r="M43" s="20" t="s">
        <v>2</v>
      </c>
      <c r="N43" s="20" t="s">
        <v>2</v>
      </c>
      <c r="O43" s="11" t="s">
        <v>17</v>
      </c>
      <c r="P43" s="4">
        <v>7.3888888888888893</v>
      </c>
    </row>
    <row r="44" spans="1:16" s="5" customFormat="1" ht="42" customHeight="1">
      <c r="A44" s="2">
        <v>42</v>
      </c>
      <c r="B44" s="17">
        <v>2558720231</v>
      </c>
      <c r="C44" s="17">
        <v>250371611090</v>
      </c>
      <c r="D44" s="18" t="s">
        <v>544</v>
      </c>
      <c r="E44" s="17" t="s">
        <v>22</v>
      </c>
      <c r="F44" s="19" t="s">
        <v>15</v>
      </c>
      <c r="G44" s="19" t="s">
        <v>85</v>
      </c>
      <c r="H44" s="20" t="s">
        <v>3</v>
      </c>
      <c r="I44" s="20" t="s">
        <v>4</v>
      </c>
      <c r="J44" s="20" t="s">
        <v>3</v>
      </c>
      <c r="K44" s="20" t="s">
        <v>3</v>
      </c>
      <c r="L44" s="20" t="s">
        <v>4</v>
      </c>
      <c r="M44" s="20" t="s">
        <v>2</v>
      </c>
      <c r="N44" s="20" t="s">
        <v>8</v>
      </c>
      <c r="O44" s="11" t="s">
        <v>17</v>
      </c>
      <c r="P44" s="4">
        <v>7.833333333333333</v>
      </c>
    </row>
    <row r="45" spans="1:16" s="5" customFormat="1" ht="42" customHeight="1">
      <c r="A45" s="2">
        <v>43</v>
      </c>
      <c r="B45" s="17">
        <v>2558720089</v>
      </c>
      <c r="C45" s="17">
        <v>250371611091</v>
      </c>
      <c r="D45" s="18" t="s">
        <v>545</v>
      </c>
      <c r="E45" s="17" t="s">
        <v>22</v>
      </c>
      <c r="F45" s="19" t="s">
        <v>15</v>
      </c>
      <c r="G45" s="19" t="s">
        <v>85</v>
      </c>
      <c r="H45" s="20" t="s">
        <v>3</v>
      </c>
      <c r="I45" s="20" t="s">
        <v>3</v>
      </c>
      <c r="J45" s="20" t="s">
        <v>4</v>
      </c>
      <c r="K45" s="20" t="s">
        <v>4</v>
      </c>
      <c r="L45" s="20" t="s">
        <v>3</v>
      </c>
      <c r="M45" s="20" t="s">
        <v>2</v>
      </c>
      <c r="N45" s="20" t="s">
        <v>8</v>
      </c>
      <c r="O45" s="11" t="s">
        <v>17</v>
      </c>
      <c r="P45" s="4">
        <v>7.7777777777777777</v>
      </c>
    </row>
    <row r="46" spans="1:16" s="5" customFormat="1" ht="42" customHeight="1">
      <c r="A46" s="2">
        <v>44</v>
      </c>
      <c r="B46" s="17">
        <v>2558720049</v>
      </c>
      <c r="C46" s="17">
        <v>250371611092</v>
      </c>
      <c r="D46" s="18" t="s">
        <v>546</v>
      </c>
      <c r="E46" s="17" t="s">
        <v>22</v>
      </c>
      <c r="F46" s="19" t="s">
        <v>15</v>
      </c>
      <c r="G46" s="19" t="s">
        <v>85</v>
      </c>
      <c r="H46" s="20" t="s">
        <v>2</v>
      </c>
      <c r="I46" s="20" t="s">
        <v>2</v>
      </c>
      <c r="J46" s="20" t="s">
        <v>2</v>
      </c>
      <c r="K46" s="20" t="s">
        <v>2</v>
      </c>
      <c r="L46" s="20" t="s">
        <v>2</v>
      </c>
      <c r="M46" s="20" t="s">
        <v>8</v>
      </c>
      <c r="N46" s="20" t="s">
        <v>8</v>
      </c>
      <c r="O46" s="11" t="s">
        <v>17</v>
      </c>
      <c r="P46" s="4">
        <v>9.1111111111111107</v>
      </c>
    </row>
    <row r="47" spans="1:16" s="5" customFormat="1" ht="42" customHeight="1">
      <c r="A47" s="2">
        <v>45</v>
      </c>
      <c r="B47" s="17">
        <v>2558720048</v>
      </c>
      <c r="C47" s="17">
        <v>250371611093</v>
      </c>
      <c r="D47" s="18" t="s">
        <v>547</v>
      </c>
      <c r="E47" s="17" t="s">
        <v>22</v>
      </c>
      <c r="F47" s="19" t="s">
        <v>15</v>
      </c>
      <c r="G47" s="19" t="s">
        <v>85</v>
      </c>
      <c r="H47" s="20" t="s">
        <v>2</v>
      </c>
      <c r="I47" s="20" t="s">
        <v>8</v>
      </c>
      <c r="J47" s="20" t="s">
        <v>2</v>
      </c>
      <c r="K47" s="20" t="s">
        <v>2</v>
      </c>
      <c r="L47" s="20" t="s">
        <v>8</v>
      </c>
      <c r="M47" s="20" t="s">
        <v>8</v>
      </c>
      <c r="N47" s="20" t="s">
        <v>8</v>
      </c>
      <c r="O47" s="11" t="s">
        <v>17</v>
      </c>
      <c r="P47" s="4">
        <v>9.4444444444444446</v>
      </c>
    </row>
    <row r="48" spans="1:16" s="5" customFormat="1" ht="42" customHeight="1">
      <c r="A48" s="2">
        <v>46</v>
      </c>
      <c r="B48" s="17">
        <v>2558720034</v>
      </c>
      <c r="C48" s="17">
        <v>250371611094</v>
      </c>
      <c r="D48" s="18" t="s">
        <v>548</v>
      </c>
      <c r="E48" s="17" t="s">
        <v>22</v>
      </c>
      <c r="F48" s="19" t="s">
        <v>15</v>
      </c>
      <c r="G48" s="19" t="s">
        <v>85</v>
      </c>
      <c r="H48" s="20" t="s">
        <v>1516</v>
      </c>
      <c r="I48" s="20" t="s">
        <v>1516</v>
      </c>
      <c r="J48" s="20" t="s">
        <v>1516</v>
      </c>
      <c r="K48" s="20" t="s">
        <v>1516</v>
      </c>
      <c r="L48" s="20" t="s">
        <v>1516</v>
      </c>
      <c r="M48" s="20" t="s">
        <v>1516</v>
      </c>
      <c r="N48" s="20" t="s">
        <v>1516</v>
      </c>
      <c r="O48" s="11" t="s">
        <v>1516</v>
      </c>
      <c r="P48" s="4">
        <v>0</v>
      </c>
    </row>
    <row r="49" spans="1:16" s="5" customFormat="1" ht="42" customHeight="1">
      <c r="A49" s="2">
        <v>47</v>
      </c>
      <c r="B49" s="17">
        <v>2558720154</v>
      </c>
      <c r="C49" s="17">
        <v>250371611095</v>
      </c>
      <c r="D49" s="18" t="s">
        <v>549</v>
      </c>
      <c r="E49" s="17" t="s">
        <v>22</v>
      </c>
      <c r="F49" s="19" t="s">
        <v>15</v>
      </c>
      <c r="G49" s="19" t="s">
        <v>85</v>
      </c>
      <c r="H49" s="20" t="s">
        <v>4</v>
      </c>
      <c r="I49" s="20" t="s">
        <v>4</v>
      </c>
      <c r="J49" s="20" t="s">
        <v>6</v>
      </c>
      <c r="K49" s="20" t="s">
        <v>4</v>
      </c>
      <c r="L49" s="20" t="s">
        <v>4</v>
      </c>
      <c r="M49" s="20" t="s">
        <v>2</v>
      </c>
      <c r="N49" s="20" t="s">
        <v>2</v>
      </c>
      <c r="O49" s="11" t="s">
        <v>17</v>
      </c>
      <c r="P49" s="4">
        <v>6.7777777777777777</v>
      </c>
    </row>
    <row r="50" spans="1:16" s="5" customFormat="1" ht="42" customHeight="1">
      <c r="A50" s="2">
        <v>48</v>
      </c>
      <c r="B50" s="17">
        <v>2558720047</v>
      </c>
      <c r="C50" s="17">
        <v>250371611096</v>
      </c>
      <c r="D50" s="18" t="s">
        <v>550</v>
      </c>
      <c r="E50" s="17" t="s">
        <v>22</v>
      </c>
      <c r="F50" s="19" t="s">
        <v>15</v>
      </c>
      <c r="G50" s="19" t="s">
        <v>85</v>
      </c>
      <c r="H50" s="20" t="s">
        <v>2</v>
      </c>
      <c r="I50" s="20" t="s">
        <v>4</v>
      </c>
      <c r="J50" s="20" t="s">
        <v>3</v>
      </c>
      <c r="K50" s="20" t="s">
        <v>2</v>
      </c>
      <c r="L50" s="20" t="s">
        <v>3</v>
      </c>
      <c r="M50" s="20" t="s">
        <v>8</v>
      </c>
      <c r="N50" s="20" t="s">
        <v>8</v>
      </c>
      <c r="O50" s="11" t="s">
        <v>17</v>
      </c>
      <c r="P50" s="4">
        <v>8.3888888888888893</v>
      </c>
    </row>
    <row r="51" spans="1:16" s="5" customFormat="1" ht="42" customHeight="1">
      <c r="A51" s="2">
        <v>49</v>
      </c>
      <c r="B51" s="17">
        <v>2558720131</v>
      </c>
      <c r="C51" s="17">
        <v>250371611098</v>
      </c>
      <c r="D51" s="18" t="s">
        <v>551</v>
      </c>
      <c r="E51" s="17" t="s">
        <v>22</v>
      </c>
      <c r="F51" s="19" t="s">
        <v>15</v>
      </c>
      <c r="G51" s="19" t="s">
        <v>85</v>
      </c>
      <c r="H51" s="20" t="s">
        <v>2</v>
      </c>
      <c r="I51" s="20" t="s">
        <v>2</v>
      </c>
      <c r="J51" s="20" t="s">
        <v>2</v>
      </c>
      <c r="K51" s="20" t="s">
        <v>3</v>
      </c>
      <c r="L51" s="20" t="s">
        <v>2</v>
      </c>
      <c r="M51" s="20" t="s">
        <v>8</v>
      </c>
      <c r="N51" s="20" t="s">
        <v>8</v>
      </c>
      <c r="O51" s="11" t="s">
        <v>17</v>
      </c>
      <c r="P51" s="4">
        <v>8.9444444444444446</v>
      </c>
    </row>
    <row r="52" spans="1:16" s="5" customFormat="1" ht="42" customHeight="1">
      <c r="A52" s="2">
        <v>50</v>
      </c>
      <c r="B52" s="17">
        <v>2558720030</v>
      </c>
      <c r="C52" s="17">
        <v>250371611099</v>
      </c>
      <c r="D52" s="18" t="s">
        <v>552</v>
      </c>
      <c r="E52" s="17" t="s">
        <v>22</v>
      </c>
      <c r="F52" s="19" t="s">
        <v>15</v>
      </c>
      <c r="G52" s="19" t="s">
        <v>85</v>
      </c>
      <c r="H52" s="20" t="s">
        <v>2</v>
      </c>
      <c r="I52" s="20" t="s">
        <v>8</v>
      </c>
      <c r="J52" s="20" t="s">
        <v>3</v>
      </c>
      <c r="K52" s="20" t="s">
        <v>3</v>
      </c>
      <c r="L52" s="20" t="s">
        <v>2</v>
      </c>
      <c r="M52" s="20" t="s">
        <v>8</v>
      </c>
      <c r="N52" s="20" t="s">
        <v>8</v>
      </c>
      <c r="O52" s="11" t="s">
        <v>17</v>
      </c>
      <c r="P52" s="4">
        <v>8.8888888888888893</v>
      </c>
    </row>
    <row r="53" spans="1:16" s="5" customFormat="1" ht="42" customHeight="1">
      <c r="A53" s="2">
        <v>51</v>
      </c>
      <c r="B53" s="17">
        <v>2558720151</v>
      </c>
      <c r="C53" s="17">
        <v>250371611100</v>
      </c>
      <c r="D53" s="18" t="s">
        <v>553</v>
      </c>
      <c r="E53" s="17" t="s">
        <v>22</v>
      </c>
      <c r="F53" s="19" t="s">
        <v>15</v>
      </c>
      <c r="G53" s="19" t="s">
        <v>85</v>
      </c>
      <c r="H53" s="20" t="s">
        <v>8</v>
      </c>
      <c r="I53" s="20" t="s">
        <v>8</v>
      </c>
      <c r="J53" s="20" t="s">
        <v>8</v>
      </c>
      <c r="K53" s="20" t="s">
        <v>8</v>
      </c>
      <c r="L53" s="20" t="s">
        <v>8</v>
      </c>
      <c r="M53" s="20" t="s">
        <v>8</v>
      </c>
      <c r="N53" s="20" t="s">
        <v>8</v>
      </c>
      <c r="O53" s="11" t="s">
        <v>17</v>
      </c>
      <c r="P53" s="4">
        <v>10</v>
      </c>
    </row>
    <row r="54" spans="1:16" s="5" customFormat="1" ht="42" customHeight="1">
      <c r="A54" s="2">
        <v>52</v>
      </c>
      <c r="B54" s="17">
        <v>2558720105</v>
      </c>
      <c r="C54" s="17">
        <v>250371611102</v>
      </c>
      <c r="D54" s="18" t="s">
        <v>554</v>
      </c>
      <c r="E54" s="17" t="s">
        <v>22</v>
      </c>
      <c r="F54" s="19" t="s">
        <v>15</v>
      </c>
      <c r="G54" s="19" t="s">
        <v>85</v>
      </c>
      <c r="H54" s="20" t="s">
        <v>2</v>
      </c>
      <c r="I54" s="20" t="s">
        <v>2</v>
      </c>
      <c r="J54" s="20" t="s">
        <v>3</v>
      </c>
      <c r="K54" s="20" t="s">
        <v>2</v>
      </c>
      <c r="L54" s="20" t="s">
        <v>3</v>
      </c>
      <c r="M54" s="20" t="s">
        <v>8</v>
      </c>
      <c r="N54" s="20" t="s">
        <v>8</v>
      </c>
      <c r="O54" s="11" t="s">
        <v>17</v>
      </c>
      <c r="P54" s="4">
        <v>8.7222222222222214</v>
      </c>
    </row>
    <row r="55" spans="1:16" s="5" customFormat="1" ht="42" customHeight="1">
      <c r="A55" s="2">
        <v>53</v>
      </c>
      <c r="B55" s="17">
        <v>2558720082</v>
      </c>
      <c r="C55" s="17">
        <v>250371611103</v>
      </c>
      <c r="D55" s="18" t="s">
        <v>555</v>
      </c>
      <c r="E55" s="17" t="s">
        <v>22</v>
      </c>
      <c r="F55" s="19" t="s">
        <v>15</v>
      </c>
      <c r="G55" s="19" t="s">
        <v>85</v>
      </c>
      <c r="H55" s="20" t="s">
        <v>3</v>
      </c>
      <c r="I55" s="20" t="s">
        <v>6</v>
      </c>
      <c r="J55" s="20" t="s">
        <v>4</v>
      </c>
      <c r="K55" s="20" t="s">
        <v>4</v>
      </c>
      <c r="L55" s="20" t="s">
        <v>6</v>
      </c>
      <c r="M55" s="20" t="s">
        <v>2</v>
      </c>
      <c r="N55" s="20" t="s">
        <v>2</v>
      </c>
      <c r="O55" s="11" t="s">
        <v>17</v>
      </c>
      <c r="P55" s="4">
        <v>6.7222222222222223</v>
      </c>
    </row>
    <row r="56" spans="1:16" s="5" customFormat="1" ht="42" customHeight="1">
      <c r="A56" s="2">
        <v>54</v>
      </c>
      <c r="B56" s="17">
        <v>2558720156</v>
      </c>
      <c r="C56" s="17">
        <v>250371611105</v>
      </c>
      <c r="D56" s="18" t="s">
        <v>556</v>
      </c>
      <c r="E56" s="17" t="s">
        <v>22</v>
      </c>
      <c r="F56" s="19" t="s">
        <v>15</v>
      </c>
      <c r="G56" s="19" t="s">
        <v>85</v>
      </c>
      <c r="H56" s="20" t="s">
        <v>8</v>
      </c>
      <c r="I56" s="20" t="s">
        <v>8</v>
      </c>
      <c r="J56" s="20" t="s">
        <v>8</v>
      </c>
      <c r="K56" s="20" t="s">
        <v>2</v>
      </c>
      <c r="L56" s="20" t="s">
        <v>8</v>
      </c>
      <c r="M56" s="20" t="s">
        <v>8</v>
      </c>
      <c r="N56" s="20" t="s">
        <v>8</v>
      </c>
      <c r="O56" s="11" t="s">
        <v>17</v>
      </c>
      <c r="P56" s="4">
        <v>9.8333333333333339</v>
      </c>
    </row>
    <row r="57" spans="1:16" s="5" customFormat="1" ht="42" customHeight="1">
      <c r="A57" s="2">
        <v>55</v>
      </c>
      <c r="B57" s="17">
        <v>2558720123</v>
      </c>
      <c r="C57" s="17">
        <v>250371611106</v>
      </c>
      <c r="D57" s="18" t="s">
        <v>557</v>
      </c>
      <c r="E57" s="17" t="s">
        <v>22</v>
      </c>
      <c r="F57" s="19" t="s">
        <v>15</v>
      </c>
      <c r="G57" s="19" t="s">
        <v>85</v>
      </c>
      <c r="H57" s="20" t="s">
        <v>2</v>
      </c>
      <c r="I57" s="20" t="s">
        <v>3</v>
      </c>
      <c r="J57" s="20" t="s">
        <v>2</v>
      </c>
      <c r="K57" s="20" t="s">
        <v>4</v>
      </c>
      <c r="L57" s="20" t="s">
        <v>3</v>
      </c>
      <c r="M57" s="20" t="s">
        <v>2</v>
      </c>
      <c r="N57" s="20" t="s">
        <v>2</v>
      </c>
      <c r="O57" s="11" t="s">
        <v>17</v>
      </c>
      <c r="P57" s="4">
        <v>8.3333333333333339</v>
      </c>
    </row>
    <row r="58" spans="1:16" s="5" customFormat="1" ht="42" customHeight="1">
      <c r="A58" s="2">
        <v>56</v>
      </c>
      <c r="B58" s="17">
        <v>2558720068</v>
      </c>
      <c r="C58" s="17">
        <v>250371611112</v>
      </c>
      <c r="D58" s="18" t="s">
        <v>558</v>
      </c>
      <c r="E58" s="17" t="s">
        <v>22</v>
      </c>
      <c r="F58" s="19" t="s">
        <v>15</v>
      </c>
      <c r="G58" s="19" t="s">
        <v>85</v>
      </c>
      <c r="H58" s="20" t="s">
        <v>2</v>
      </c>
      <c r="I58" s="20" t="s">
        <v>8</v>
      </c>
      <c r="J58" s="20" t="s">
        <v>3</v>
      </c>
      <c r="K58" s="20" t="s">
        <v>4</v>
      </c>
      <c r="L58" s="20" t="s">
        <v>3</v>
      </c>
      <c r="M58" s="20" t="s">
        <v>2</v>
      </c>
      <c r="N58" s="20" t="s">
        <v>8</v>
      </c>
      <c r="O58" s="11" t="s">
        <v>17</v>
      </c>
      <c r="P58" s="4">
        <v>8.5</v>
      </c>
    </row>
    <row r="59" spans="1:16" s="5" customFormat="1" ht="42" customHeight="1">
      <c r="A59" s="2">
        <v>57</v>
      </c>
      <c r="B59" s="17">
        <v>2558720100</v>
      </c>
      <c r="C59" s="17">
        <v>250371611113</v>
      </c>
      <c r="D59" s="18" t="s">
        <v>559</v>
      </c>
      <c r="E59" s="17" t="s">
        <v>22</v>
      </c>
      <c r="F59" s="19" t="s">
        <v>15</v>
      </c>
      <c r="G59" s="19" t="s">
        <v>85</v>
      </c>
      <c r="H59" s="20" t="s">
        <v>2</v>
      </c>
      <c r="I59" s="20" t="s">
        <v>3</v>
      </c>
      <c r="J59" s="20" t="s">
        <v>4</v>
      </c>
      <c r="K59" s="20" t="s">
        <v>3</v>
      </c>
      <c r="L59" s="20" t="s">
        <v>3</v>
      </c>
      <c r="M59" s="20" t="s">
        <v>2</v>
      </c>
      <c r="N59" s="20" t="s">
        <v>8</v>
      </c>
      <c r="O59" s="11" t="s">
        <v>17</v>
      </c>
      <c r="P59" s="4">
        <v>8.1111111111111107</v>
      </c>
    </row>
    <row r="60" spans="1:16" s="5" customFormat="1" ht="42" customHeight="1">
      <c r="A60" s="2">
        <v>58</v>
      </c>
      <c r="B60" s="17">
        <v>2558720051</v>
      </c>
      <c r="C60" s="17">
        <v>250371611114</v>
      </c>
      <c r="D60" s="18" t="s">
        <v>560</v>
      </c>
      <c r="E60" s="17" t="s">
        <v>22</v>
      </c>
      <c r="F60" s="19" t="s">
        <v>15</v>
      </c>
      <c r="G60" s="19" t="s">
        <v>85</v>
      </c>
      <c r="H60" s="20" t="s">
        <v>5</v>
      </c>
      <c r="I60" s="20" t="s">
        <v>4</v>
      </c>
      <c r="J60" s="20" t="s">
        <v>11</v>
      </c>
      <c r="K60" s="20" t="s">
        <v>11</v>
      </c>
      <c r="L60" s="20" t="s">
        <v>7</v>
      </c>
      <c r="M60" s="20" t="s">
        <v>2</v>
      </c>
      <c r="N60" s="20" t="s">
        <v>2</v>
      </c>
      <c r="O60" s="11" t="s">
        <v>7</v>
      </c>
      <c r="P60" s="4">
        <v>0</v>
      </c>
    </row>
    <row r="61" spans="1:16" s="5" customFormat="1" ht="42" customHeight="1">
      <c r="A61" s="2">
        <v>59</v>
      </c>
      <c r="B61" s="17">
        <v>2558720092</v>
      </c>
      <c r="C61" s="17">
        <v>250371611115</v>
      </c>
      <c r="D61" s="18" t="s">
        <v>561</v>
      </c>
      <c r="E61" s="17" t="s">
        <v>22</v>
      </c>
      <c r="F61" s="19" t="s">
        <v>15</v>
      </c>
      <c r="G61" s="19" t="s">
        <v>85</v>
      </c>
      <c r="H61" s="20" t="s">
        <v>2</v>
      </c>
      <c r="I61" s="20" t="s">
        <v>8</v>
      </c>
      <c r="J61" s="20" t="s">
        <v>6</v>
      </c>
      <c r="K61" s="20" t="s">
        <v>3</v>
      </c>
      <c r="L61" s="20" t="s">
        <v>3</v>
      </c>
      <c r="M61" s="20" t="s">
        <v>2</v>
      </c>
      <c r="N61" s="20" t="s">
        <v>8</v>
      </c>
      <c r="O61" s="11" t="s">
        <v>17</v>
      </c>
      <c r="P61" s="4">
        <v>8</v>
      </c>
    </row>
    <row r="62" spans="1:16" s="5" customFormat="1" ht="42" customHeight="1">
      <c r="A62" s="2">
        <v>60</v>
      </c>
      <c r="B62" s="17">
        <v>2558720178</v>
      </c>
      <c r="C62" s="17">
        <v>250371611118</v>
      </c>
      <c r="D62" s="18" t="s">
        <v>562</v>
      </c>
      <c r="E62" s="17" t="s">
        <v>22</v>
      </c>
      <c r="F62" s="19" t="s">
        <v>15</v>
      </c>
      <c r="G62" s="19" t="s">
        <v>85</v>
      </c>
      <c r="H62" s="20" t="s">
        <v>2</v>
      </c>
      <c r="I62" s="20" t="s">
        <v>4</v>
      </c>
      <c r="J62" s="20" t="s">
        <v>3</v>
      </c>
      <c r="K62" s="20" t="s">
        <v>4</v>
      </c>
      <c r="L62" s="20" t="s">
        <v>4</v>
      </c>
      <c r="M62" s="20" t="s">
        <v>2</v>
      </c>
      <c r="N62" s="20" t="s">
        <v>2</v>
      </c>
      <c r="O62" s="11" t="s">
        <v>17</v>
      </c>
      <c r="P62" s="4">
        <v>7.7777777777777777</v>
      </c>
    </row>
    <row r="63" spans="1:16" s="5" customFormat="1" ht="42" customHeight="1">
      <c r="A63" s="2">
        <v>61</v>
      </c>
      <c r="B63" s="17">
        <v>2558720038</v>
      </c>
      <c r="C63" s="17">
        <v>250371611119</v>
      </c>
      <c r="D63" s="18" t="s">
        <v>563</v>
      </c>
      <c r="E63" s="17" t="s">
        <v>22</v>
      </c>
      <c r="F63" s="19" t="s">
        <v>15</v>
      </c>
      <c r="G63" s="19" t="s">
        <v>85</v>
      </c>
      <c r="H63" s="20" t="s">
        <v>3</v>
      </c>
      <c r="I63" s="20" t="s">
        <v>4</v>
      </c>
      <c r="J63" s="20" t="s">
        <v>4</v>
      </c>
      <c r="K63" s="20" t="s">
        <v>5</v>
      </c>
      <c r="L63" s="20" t="s">
        <v>5</v>
      </c>
      <c r="M63" s="20" t="s">
        <v>2</v>
      </c>
      <c r="N63" s="20" t="s">
        <v>2</v>
      </c>
      <c r="O63" s="11" t="s">
        <v>17</v>
      </c>
      <c r="P63" s="4">
        <v>7.0555555555555554</v>
      </c>
    </row>
    <row r="64" spans="1:16" s="5" customFormat="1" ht="42" customHeight="1">
      <c r="A64" s="2">
        <v>62</v>
      </c>
      <c r="B64" s="17">
        <v>2558720179</v>
      </c>
      <c r="C64" s="17">
        <v>250371611120</v>
      </c>
      <c r="D64" s="18" t="s">
        <v>564</v>
      </c>
      <c r="E64" s="17" t="s">
        <v>22</v>
      </c>
      <c r="F64" s="19" t="s">
        <v>15</v>
      </c>
      <c r="G64" s="19" t="s">
        <v>85</v>
      </c>
      <c r="H64" s="20" t="s">
        <v>8</v>
      </c>
      <c r="I64" s="20" t="s">
        <v>8</v>
      </c>
      <c r="J64" s="20" t="s">
        <v>8</v>
      </c>
      <c r="K64" s="20" t="s">
        <v>8</v>
      </c>
      <c r="L64" s="20" t="s">
        <v>8</v>
      </c>
      <c r="M64" s="20" t="s">
        <v>8</v>
      </c>
      <c r="N64" s="20" t="s">
        <v>8</v>
      </c>
      <c r="O64" s="11" t="s">
        <v>17</v>
      </c>
      <c r="P64" s="4">
        <v>10</v>
      </c>
    </row>
    <row r="65" spans="1:16" s="5" customFormat="1" ht="42" customHeight="1">
      <c r="A65" s="2">
        <v>63</v>
      </c>
      <c r="B65" s="17">
        <v>2558720233</v>
      </c>
      <c r="C65" s="17">
        <v>250371611121</v>
      </c>
      <c r="D65" s="18" t="s">
        <v>565</v>
      </c>
      <c r="E65" s="17" t="s">
        <v>22</v>
      </c>
      <c r="F65" s="19" t="s">
        <v>15</v>
      </c>
      <c r="G65" s="19" t="s">
        <v>85</v>
      </c>
      <c r="H65" s="20" t="s">
        <v>3</v>
      </c>
      <c r="I65" s="20" t="s">
        <v>3</v>
      </c>
      <c r="J65" s="20" t="s">
        <v>2</v>
      </c>
      <c r="K65" s="20" t="s">
        <v>2</v>
      </c>
      <c r="L65" s="20" t="s">
        <v>3</v>
      </c>
      <c r="M65" s="20" t="s">
        <v>2</v>
      </c>
      <c r="N65" s="20" t="s">
        <v>8</v>
      </c>
      <c r="O65" s="11" t="s">
        <v>17</v>
      </c>
      <c r="P65" s="4">
        <v>8.5555555555555554</v>
      </c>
    </row>
    <row r="66" spans="1:16" s="5" customFormat="1" ht="42" customHeight="1">
      <c r="A66" s="2">
        <v>64</v>
      </c>
      <c r="B66" s="17">
        <v>2558720250</v>
      </c>
      <c r="C66" s="17">
        <v>250371611122</v>
      </c>
      <c r="D66" s="18" t="s">
        <v>566</v>
      </c>
      <c r="E66" s="17" t="s">
        <v>22</v>
      </c>
      <c r="F66" s="19" t="s">
        <v>15</v>
      </c>
      <c r="G66" s="19" t="s">
        <v>85</v>
      </c>
      <c r="H66" s="20" t="s">
        <v>2</v>
      </c>
      <c r="I66" s="20" t="s">
        <v>4</v>
      </c>
      <c r="J66" s="20" t="s">
        <v>3</v>
      </c>
      <c r="K66" s="20" t="s">
        <v>4</v>
      </c>
      <c r="L66" s="20" t="s">
        <v>3</v>
      </c>
      <c r="M66" s="20" t="s">
        <v>2</v>
      </c>
      <c r="N66" s="20" t="s">
        <v>2</v>
      </c>
      <c r="O66" s="11" t="s">
        <v>17</v>
      </c>
      <c r="P66" s="4">
        <v>7.9444444444444446</v>
      </c>
    </row>
    <row r="67" spans="1:16" s="5" customFormat="1" ht="42" customHeight="1">
      <c r="A67" s="2">
        <v>65</v>
      </c>
      <c r="B67" s="17">
        <v>2558720129</v>
      </c>
      <c r="C67" s="17">
        <v>250371611127</v>
      </c>
      <c r="D67" s="18" t="s">
        <v>567</v>
      </c>
      <c r="E67" s="17" t="s">
        <v>22</v>
      </c>
      <c r="F67" s="19" t="s">
        <v>15</v>
      </c>
      <c r="G67" s="19" t="s">
        <v>85</v>
      </c>
      <c r="H67" s="20" t="s">
        <v>1517</v>
      </c>
      <c r="I67" s="20" t="s">
        <v>2</v>
      </c>
      <c r="J67" s="20" t="s">
        <v>3</v>
      </c>
      <c r="K67" s="20" t="s">
        <v>3</v>
      </c>
      <c r="L67" s="20" t="s">
        <v>3</v>
      </c>
      <c r="M67" s="20" t="s">
        <v>2</v>
      </c>
      <c r="N67" s="20" t="s">
        <v>2</v>
      </c>
      <c r="O67" s="11" t="s">
        <v>1517</v>
      </c>
      <c r="P67" s="4">
        <v>0</v>
      </c>
    </row>
    <row r="68" spans="1:16" s="5" customFormat="1" ht="42" customHeight="1">
      <c r="A68" s="2">
        <v>66</v>
      </c>
      <c r="B68" s="17">
        <v>2558720091</v>
      </c>
      <c r="C68" s="17">
        <v>250371611132</v>
      </c>
      <c r="D68" s="18" t="s">
        <v>568</v>
      </c>
      <c r="E68" s="17" t="s">
        <v>22</v>
      </c>
      <c r="F68" s="19" t="s">
        <v>15</v>
      </c>
      <c r="G68" s="19" t="s">
        <v>85</v>
      </c>
      <c r="H68" s="20" t="s">
        <v>6</v>
      </c>
      <c r="I68" s="20" t="s">
        <v>6</v>
      </c>
      <c r="J68" s="20" t="s">
        <v>7</v>
      </c>
      <c r="K68" s="20" t="s">
        <v>5</v>
      </c>
      <c r="L68" s="20" t="s">
        <v>11</v>
      </c>
      <c r="M68" s="20" t="s">
        <v>2</v>
      </c>
      <c r="N68" s="20" t="s">
        <v>2</v>
      </c>
      <c r="O68" s="11" t="s">
        <v>7</v>
      </c>
      <c r="P68" s="4">
        <v>0</v>
      </c>
    </row>
    <row r="69" spans="1:16" s="5" customFormat="1" ht="42" customHeight="1">
      <c r="A69" s="2">
        <v>67</v>
      </c>
      <c r="B69" s="17">
        <v>2558720249</v>
      </c>
      <c r="C69" s="17">
        <v>250371611133</v>
      </c>
      <c r="D69" s="18" t="s">
        <v>569</v>
      </c>
      <c r="E69" s="17" t="s">
        <v>22</v>
      </c>
      <c r="F69" s="19" t="s">
        <v>15</v>
      </c>
      <c r="G69" s="19" t="s">
        <v>85</v>
      </c>
      <c r="H69" s="20" t="s">
        <v>4</v>
      </c>
      <c r="I69" s="20" t="s">
        <v>6</v>
      </c>
      <c r="J69" s="20" t="s">
        <v>4</v>
      </c>
      <c r="K69" s="20" t="s">
        <v>6</v>
      </c>
      <c r="L69" s="20" t="s">
        <v>6</v>
      </c>
      <c r="M69" s="20" t="s">
        <v>2</v>
      </c>
      <c r="N69" s="20" t="s">
        <v>2</v>
      </c>
      <c r="O69" s="11" t="s">
        <v>17</v>
      </c>
      <c r="P69" s="4">
        <v>6.2222222222222223</v>
      </c>
    </row>
    <row r="70" spans="1:16" s="5" customFormat="1" ht="42" customHeight="1">
      <c r="A70" s="2">
        <v>68</v>
      </c>
      <c r="B70" s="17">
        <v>2558720134</v>
      </c>
      <c r="C70" s="17">
        <v>250371611138</v>
      </c>
      <c r="D70" s="18" t="s">
        <v>570</v>
      </c>
      <c r="E70" s="17" t="s">
        <v>22</v>
      </c>
      <c r="F70" s="19" t="s">
        <v>15</v>
      </c>
      <c r="G70" s="19" t="s">
        <v>85</v>
      </c>
      <c r="H70" s="20" t="s">
        <v>3</v>
      </c>
      <c r="I70" s="20" t="s">
        <v>2</v>
      </c>
      <c r="J70" s="20" t="s">
        <v>2</v>
      </c>
      <c r="K70" s="20" t="s">
        <v>3</v>
      </c>
      <c r="L70" s="20" t="s">
        <v>3</v>
      </c>
      <c r="M70" s="20" t="s">
        <v>2</v>
      </c>
      <c r="N70" s="20" t="s">
        <v>2</v>
      </c>
      <c r="O70" s="11" t="s">
        <v>17</v>
      </c>
      <c r="P70" s="4">
        <v>8.5</v>
      </c>
    </row>
    <row r="71" spans="1:16" s="5" customFormat="1" ht="42" customHeight="1">
      <c r="A71" s="2">
        <v>69</v>
      </c>
      <c r="B71" s="17">
        <v>2558720210</v>
      </c>
      <c r="C71" s="17">
        <v>250371611139</v>
      </c>
      <c r="D71" s="18" t="s">
        <v>571</v>
      </c>
      <c r="E71" s="17" t="s">
        <v>22</v>
      </c>
      <c r="F71" s="19" t="s">
        <v>15</v>
      </c>
      <c r="G71" s="19" t="s">
        <v>85</v>
      </c>
      <c r="H71" s="20" t="s">
        <v>1517</v>
      </c>
      <c r="I71" s="20" t="s">
        <v>11</v>
      </c>
      <c r="J71" s="20" t="s">
        <v>4</v>
      </c>
      <c r="K71" s="20" t="s">
        <v>4</v>
      </c>
      <c r="L71" s="20" t="s">
        <v>5</v>
      </c>
      <c r="M71" s="20" t="s">
        <v>2</v>
      </c>
      <c r="N71" s="20" t="s">
        <v>2</v>
      </c>
      <c r="O71" s="11" t="s">
        <v>1517</v>
      </c>
      <c r="P71" s="4">
        <v>0</v>
      </c>
    </row>
    <row r="72" spans="1:16" s="5" customFormat="1" ht="42" customHeight="1">
      <c r="A72" s="2">
        <v>70</v>
      </c>
      <c r="B72" s="17">
        <v>2558720035</v>
      </c>
      <c r="C72" s="17">
        <v>250371611142</v>
      </c>
      <c r="D72" s="18" t="s">
        <v>572</v>
      </c>
      <c r="E72" s="17" t="s">
        <v>22</v>
      </c>
      <c r="F72" s="19" t="s">
        <v>15</v>
      </c>
      <c r="G72" s="19" t="s">
        <v>85</v>
      </c>
      <c r="H72" s="20" t="s">
        <v>3</v>
      </c>
      <c r="I72" s="20" t="s">
        <v>4</v>
      </c>
      <c r="J72" s="20" t="s">
        <v>4</v>
      </c>
      <c r="K72" s="20" t="s">
        <v>3</v>
      </c>
      <c r="L72" s="20" t="s">
        <v>4</v>
      </c>
      <c r="M72" s="20" t="s">
        <v>2</v>
      </c>
      <c r="N72" s="20" t="s">
        <v>2</v>
      </c>
      <c r="O72" s="11" t="s">
        <v>17</v>
      </c>
      <c r="P72" s="4">
        <v>7.5555555555555554</v>
      </c>
    </row>
    <row r="73" spans="1:16" s="5" customFormat="1" ht="42" customHeight="1">
      <c r="A73" s="2">
        <v>71</v>
      </c>
      <c r="B73" s="17">
        <v>2558720167</v>
      </c>
      <c r="C73" s="17">
        <v>250371611144</v>
      </c>
      <c r="D73" s="18" t="s">
        <v>573</v>
      </c>
      <c r="E73" s="17" t="s">
        <v>22</v>
      </c>
      <c r="F73" s="19" t="s">
        <v>15</v>
      </c>
      <c r="G73" s="19" t="s">
        <v>85</v>
      </c>
      <c r="H73" s="20" t="s">
        <v>3</v>
      </c>
      <c r="I73" s="20" t="s">
        <v>3</v>
      </c>
      <c r="J73" s="20" t="s">
        <v>2</v>
      </c>
      <c r="K73" s="20" t="s">
        <v>3</v>
      </c>
      <c r="L73" s="20" t="s">
        <v>4</v>
      </c>
      <c r="M73" s="20" t="s">
        <v>2</v>
      </c>
      <c r="N73" s="20" t="s">
        <v>2</v>
      </c>
      <c r="O73" s="11" t="s">
        <v>17</v>
      </c>
      <c r="P73" s="4">
        <v>8.1666666666666661</v>
      </c>
    </row>
    <row r="74" spans="1:16" s="5" customFormat="1" ht="42" customHeight="1">
      <c r="A74" s="2">
        <v>72</v>
      </c>
      <c r="B74" s="17">
        <v>2558720045</v>
      </c>
      <c r="C74" s="17">
        <v>250371611146</v>
      </c>
      <c r="D74" s="18" t="s">
        <v>574</v>
      </c>
      <c r="E74" s="17" t="s">
        <v>22</v>
      </c>
      <c r="F74" s="19" t="s">
        <v>15</v>
      </c>
      <c r="G74" s="19" t="s">
        <v>85</v>
      </c>
      <c r="H74" s="20" t="s">
        <v>2</v>
      </c>
      <c r="I74" s="20" t="s">
        <v>8</v>
      </c>
      <c r="J74" s="20" t="s">
        <v>2</v>
      </c>
      <c r="K74" s="20" t="s">
        <v>2</v>
      </c>
      <c r="L74" s="20" t="s">
        <v>2</v>
      </c>
      <c r="M74" s="20" t="s">
        <v>8</v>
      </c>
      <c r="N74" s="20" t="s">
        <v>8</v>
      </c>
      <c r="O74" s="11" t="s">
        <v>17</v>
      </c>
      <c r="P74" s="4">
        <v>9.2777777777777786</v>
      </c>
    </row>
    <row r="75" spans="1:16" s="5" customFormat="1" ht="42" customHeight="1">
      <c r="A75" s="2">
        <v>73</v>
      </c>
      <c r="B75" s="17">
        <v>2558720271</v>
      </c>
      <c r="C75" s="17">
        <v>250371611147</v>
      </c>
      <c r="D75" s="18" t="s">
        <v>575</v>
      </c>
      <c r="E75" s="17" t="s">
        <v>22</v>
      </c>
      <c r="F75" s="19" t="s">
        <v>15</v>
      </c>
      <c r="G75" s="19" t="s">
        <v>85</v>
      </c>
      <c r="H75" s="20" t="s">
        <v>3</v>
      </c>
      <c r="I75" s="20" t="s">
        <v>4</v>
      </c>
      <c r="J75" s="20" t="s">
        <v>4</v>
      </c>
      <c r="K75" s="20" t="s">
        <v>5</v>
      </c>
      <c r="L75" s="20" t="s">
        <v>4</v>
      </c>
      <c r="M75" s="20" t="s">
        <v>2</v>
      </c>
      <c r="N75" s="20" t="s">
        <v>2</v>
      </c>
      <c r="O75" s="11" t="s">
        <v>17</v>
      </c>
      <c r="P75" s="4">
        <v>7.2222222222222223</v>
      </c>
    </row>
    <row r="76" spans="1:16" s="5" customFormat="1" ht="42" customHeight="1">
      <c r="A76" s="2">
        <v>74</v>
      </c>
      <c r="B76" s="17">
        <v>2558720111</v>
      </c>
      <c r="C76" s="17">
        <v>250371611150</v>
      </c>
      <c r="D76" s="18" t="s">
        <v>576</v>
      </c>
      <c r="E76" s="17" t="s">
        <v>22</v>
      </c>
      <c r="F76" s="19" t="s">
        <v>15</v>
      </c>
      <c r="G76" s="19" t="s">
        <v>85</v>
      </c>
      <c r="H76" s="20" t="s">
        <v>2</v>
      </c>
      <c r="I76" s="20" t="s">
        <v>2</v>
      </c>
      <c r="J76" s="20" t="s">
        <v>2</v>
      </c>
      <c r="K76" s="20" t="s">
        <v>2</v>
      </c>
      <c r="L76" s="20" t="s">
        <v>2</v>
      </c>
      <c r="M76" s="20" t="s">
        <v>8</v>
      </c>
      <c r="N76" s="20" t="s">
        <v>8</v>
      </c>
      <c r="O76" s="11" t="s">
        <v>17</v>
      </c>
      <c r="P76" s="4">
        <v>9.1111111111111107</v>
      </c>
    </row>
    <row r="77" spans="1:16" s="5" customFormat="1" ht="42" customHeight="1">
      <c r="A77" s="2">
        <v>75</v>
      </c>
      <c r="B77" s="17">
        <v>2558720027</v>
      </c>
      <c r="C77" s="17">
        <v>250371611151</v>
      </c>
      <c r="D77" s="18" t="s">
        <v>577</v>
      </c>
      <c r="E77" s="17" t="s">
        <v>22</v>
      </c>
      <c r="F77" s="19" t="s">
        <v>15</v>
      </c>
      <c r="G77" s="19" t="s">
        <v>85</v>
      </c>
      <c r="H77" s="20" t="s">
        <v>3</v>
      </c>
      <c r="I77" s="20" t="s">
        <v>3</v>
      </c>
      <c r="J77" s="20" t="s">
        <v>4</v>
      </c>
      <c r="K77" s="20" t="s">
        <v>3</v>
      </c>
      <c r="L77" s="20" t="s">
        <v>3</v>
      </c>
      <c r="M77" s="20" t="s">
        <v>2</v>
      </c>
      <c r="N77" s="20" t="s">
        <v>2</v>
      </c>
      <c r="O77" s="11" t="s">
        <v>17</v>
      </c>
      <c r="P77" s="4">
        <v>7.8888888888888893</v>
      </c>
    </row>
    <row r="78" spans="1:16" s="5" customFormat="1" ht="42" customHeight="1">
      <c r="A78" s="2">
        <v>76</v>
      </c>
      <c r="B78" s="17">
        <v>2558720212</v>
      </c>
      <c r="C78" s="17">
        <v>250371611152</v>
      </c>
      <c r="D78" s="18" t="s">
        <v>578</v>
      </c>
      <c r="E78" s="17" t="s">
        <v>22</v>
      </c>
      <c r="F78" s="19" t="s">
        <v>15</v>
      </c>
      <c r="G78" s="19" t="s">
        <v>85</v>
      </c>
      <c r="H78" s="20" t="s">
        <v>2</v>
      </c>
      <c r="I78" s="20" t="s">
        <v>5</v>
      </c>
      <c r="J78" s="20" t="s">
        <v>2</v>
      </c>
      <c r="K78" s="20" t="s">
        <v>3</v>
      </c>
      <c r="L78" s="20" t="s">
        <v>3</v>
      </c>
      <c r="M78" s="20" t="s">
        <v>2</v>
      </c>
      <c r="N78" s="20" t="s">
        <v>8</v>
      </c>
      <c r="O78" s="11" t="s">
        <v>17</v>
      </c>
      <c r="P78" s="4">
        <v>8.2222222222222214</v>
      </c>
    </row>
    <row r="79" spans="1:16" s="5" customFormat="1" ht="42" customHeight="1">
      <c r="A79" s="2">
        <v>77</v>
      </c>
      <c r="B79" s="17">
        <v>2558720110</v>
      </c>
      <c r="C79" s="17">
        <v>250371611156</v>
      </c>
      <c r="D79" s="18" t="s">
        <v>579</v>
      </c>
      <c r="E79" s="17" t="s">
        <v>22</v>
      </c>
      <c r="F79" s="19" t="s">
        <v>15</v>
      </c>
      <c r="G79" s="19" t="s">
        <v>85</v>
      </c>
      <c r="H79" s="20" t="s">
        <v>3</v>
      </c>
      <c r="I79" s="20" t="s">
        <v>6</v>
      </c>
      <c r="J79" s="20" t="s">
        <v>4</v>
      </c>
      <c r="K79" s="20" t="s">
        <v>3</v>
      </c>
      <c r="L79" s="20" t="s">
        <v>3</v>
      </c>
      <c r="M79" s="20" t="s">
        <v>8</v>
      </c>
      <c r="N79" s="20" t="s">
        <v>8</v>
      </c>
      <c r="O79" s="11" t="s">
        <v>17</v>
      </c>
      <c r="P79" s="4">
        <v>7.5</v>
      </c>
    </row>
    <row r="80" spans="1:16" s="5" customFormat="1" ht="42" customHeight="1">
      <c r="A80" s="2">
        <v>78</v>
      </c>
      <c r="B80" s="17">
        <v>2558720006</v>
      </c>
      <c r="C80" s="17">
        <v>250371611164</v>
      </c>
      <c r="D80" s="18" t="s">
        <v>580</v>
      </c>
      <c r="E80" s="17" t="s">
        <v>22</v>
      </c>
      <c r="F80" s="19" t="s">
        <v>15</v>
      </c>
      <c r="G80" s="19" t="s">
        <v>85</v>
      </c>
      <c r="H80" s="20" t="s">
        <v>2</v>
      </c>
      <c r="I80" s="20" t="s">
        <v>3</v>
      </c>
      <c r="J80" s="20" t="s">
        <v>2</v>
      </c>
      <c r="K80" s="20" t="s">
        <v>3</v>
      </c>
      <c r="L80" s="20" t="s">
        <v>2</v>
      </c>
      <c r="M80" s="20" t="s">
        <v>8</v>
      </c>
      <c r="N80" s="20" t="s">
        <v>2</v>
      </c>
      <c r="O80" s="11" t="s">
        <v>17</v>
      </c>
      <c r="P80" s="4">
        <v>8.7222222222222214</v>
      </c>
    </row>
    <row r="81" spans="1:16" s="5" customFormat="1" ht="42" customHeight="1">
      <c r="A81" s="2">
        <v>79</v>
      </c>
      <c r="B81" s="17">
        <v>2558720237</v>
      </c>
      <c r="C81" s="17">
        <v>250371611165</v>
      </c>
      <c r="D81" s="18" t="s">
        <v>581</v>
      </c>
      <c r="E81" s="17" t="s">
        <v>22</v>
      </c>
      <c r="F81" s="19" t="s">
        <v>15</v>
      </c>
      <c r="G81" s="19" t="s">
        <v>85</v>
      </c>
      <c r="H81" s="20" t="s">
        <v>3</v>
      </c>
      <c r="I81" s="20" t="s">
        <v>5</v>
      </c>
      <c r="J81" s="20" t="s">
        <v>4</v>
      </c>
      <c r="K81" s="20" t="s">
        <v>4</v>
      </c>
      <c r="L81" s="20" t="s">
        <v>4</v>
      </c>
      <c r="M81" s="20" t="s">
        <v>2</v>
      </c>
      <c r="N81" s="20" t="s">
        <v>2</v>
      </c>
      <c r="O81" s="11" t="s">
        <v>17</v>
      </c>
      <c r="P81" s="4">
        <v>7.2222222222222223</v>
      </c>
    </row>
    <row r="82" spans="1:16" s="5" customFormat="1" ht="42" customHeight="1">
      <c r="A82" s="2">
        <v>80</v>
      </c>
      <c r="B82" s="17">
        <v>2558720199</v>
      </c>
      <c r="C82" s="17">
        <v>250371611167</v>
      </c>
      <c r="D82" s="18" t="s">
        <v>582</v>
      </c>
      <c r="E82" s="17" t="s">
        <v>22</v>
      </c>
      <c r="F82" s="19" t="s">
        <v>15</v>
      </c>
      <c r="G82" s="19" t="s">
        <v>85</v>
      </c>
      <c r="H82" s="20" t="s">
        <v>11</v>
      </c>
      <c r="I82" s="20" t="s">
        <v>6</v>
      </c>
      <c r="J82" s="20" t="s">
        <v>11</v>
      </c>
      <c r="K82" s="20" t="s">
        <v>6</v>
      </c>
      <c r="L82" s="20" t="s">
        <v>1517</v>
      </c>
      <c r="M82" s="20" t="s">
        <v>2</v>
      </c>
      <c r="N82" s="20" t="s">
        <v>2</v>
      </c>
      <c r="O82" s="11" t="s">
        <v>1517</v>
      </c>
      <c r="P82" s="4">
        <v>0</v>
      </c>
    </row>
    <row r="83" spans="1:16" s="5" customFormat="1" ht="42" customHeight="1">
      <c r="A83" s="2">
        <v>81</v>
      </c>
      <c r="B83" s="17">
        <v>2558720124</v>
      </c>
      <c r="C83" s="17">
        <v>250371611168</v>
      </c>
      <c r="D83" s="18" t="s">
        <v>583</v>
      </c>
      <c r="E83" s="17" t="s">
        <v>22</v>
      </c>
      <c r="F83" s="19" t="s">
        <v>15</v>
      </c>
      <c r="G83" s="19" t="s">
        <v>85</v>
      </c>
      <c r="H83" s="20" t="s">
        <v>3</v>
      </c>
      <c r="I83" s="20" t="s">
        <v>3</v>
      </c>
      <c r="J83" s="20" t="s">
        <v>3</v>
      </c>
      <c r="K83" s="20" t="s">
        <v>3</v>
      </c>
      <c r="L83" s="20" t="s">
        <v>2</v>
      </c>
      <c r="M83" s="20" t="s">
        <v>8</v>
      </c>
      <c r="N83" s="20" t="s">
        <v>8</v>
      </c>
      <c r="O83" s="11" t="s">
        <v>17</v>
      </c>
      <c r="P83" s="4">
        <v>8.3888888888888893</v>
      </c>
    </row>
    <row r="84" spans="1:16" s="5" customFormat="1" ht="42" customHeight="1">
      <c r="A84" s="2">
        <v>82</v>
      </c>
      <c r="B84" s="17">
        <v>2558720207</v>
      </c>
      <c r="C84" s="17">
        <v>250371611169</v>
      </c>
      <c r="D84" s="18" t="s">
        <v>584</v>
      </c>
      <c r="E84" s="17" t="s">
        <v>22</v>
      </c>
      <c r="F84" s="19" t="s">
        <v>15</v>
      </c>
      <c r="G84" s="19" t="s">
        <v>85</v>
      </c>
      <c r="H84" s="20" t="s">
        <v>8</v>
      </c>
      <c r="I84" s="20" t="s">
        <v>8</v>
      </c>
      <c r="J84" s="20" t="s">
        <v>2</v>
      </c>
      <c r="K84" s="20" t="s">
        <v>2</v>
      </c>
      <c r="L84" s="20" t="s">
        <v>2</v>
      </c>
      <c r="M84" s="20" t="s">
        <v>8</v>
      </c>
      <c r="N84" s="20" t="s">
        <v>8</v>
      </c>
      <c r="O84" s="11" t="s">
        <v>17</v>
      </c>
      <c r="P84" s="4">
        <v>9.4444444444444446</v>
      </c>
    </row>
    <row r="85" spans="1:16" s="5" customFormat="1" ht="42" customHeight="1">
      <c r="A85" s="2">
        <v>83</v>
      </c>
      <c r="B85" s="17">
        <v>2558720161</v>
      </c>
      <c r="C85" s="17">
        <v>250371611170</v>
      </c>
      <c r="D85" s="18" t="s">
        <v>585</v>
      </c>
      <c r="E85" s="17" t="s">
        <v>22</v>
      </c>
      <c r="F85" s="19" t="s">
        <v>15</v>
      </c>
      <c r="G85" s="19" t="s">
        <v>85</v>
      </c>
      <c r="H85" s="20" t="s">
        <v>3</v>
      </c>
      <c r="I85" s="20" t="s">
        <v>3</v>
      </c>
      <c r="J85" s="20" t="s">
        <v>4</v>
      </c>
      <c r="K85" s="20" t="s">
        <v>4</v>
      </c>
      <c r="L85" s="20" t="s">
        <v>5</v>
      </c>
      <c r="M85" s="20" t="s">
        <v>2</v>
      </c>
      <c r="N85" s="20" t="s">
        <v>2</v>
      </c>
      <c r="O85" s="11" t="s">
        <v>17</v>
      </c>
      <c r="P85" s="4">
        <v>7.3888888888888893</v>
      </c>
    </row>
    <row r="86" spans="1:16" s="5" customFormat="1" ht="42" customHeight="1">
      <c r="A86" s="2">
        <v>84</v>
      </c>
      <c r="B86" s="17">
        <v>2558720229</v>
      </c>
      <c r="C86" s="17">
        <v>250371611171</v>
      </c>
      <c r="D86" s="18" t="s">
        <v>586</v>
      </c>
      <c r="E86" s="17" t="s">
        <v>22</v>
      </c>
      <c r="F86" s="19" t="s">
        <v>15</v>
      </c>
      <c r="G86" s="19" t="s">
        <v>85</v>
      </c>
      <c r="H86" s="20" t="s">
        <v>2</v>
      </c>
      <c r="I86" s="20" t="s">
        <v>2</v>
      </c>
      <c r="J86" s="20" t="s">
        <v>2</v>
      </c>
      <c r="K86" s="20" t="s">
        <v>2</v>
      </c>
      <c r="L86" s="20" t="s">
        <v>2</v>
      </c>
      <c r="M86" s="20" t="s">
        <v>8</v>
      </c>
      <c r="N86" s="20" t="s">
        <v>8</v>
      </c>
      <c r="O86" s="11" t="s">
        <v>17</v>
      </c>
      <c r="P86" s="4">
        <v>9.1111111111111107</v>
      </c>
    </row>
    <row r="87" spans="1:16" s="5" customFormat="1" ht="42" customHeight="1">
      <c r="A87" s="2">
        <v>85</v>
      </c>
      <c r="B87" s="17">
        <v>2558720126</v>
      </c>
      <c r="C87" s="17">
        <v>250371611172</v>
      </c>
      <c r="D87" s="18" t="s">
        <v>587</v>
      </c>
      <c r="E87" s="17" t="s">
        <v>22</v>
      </c>
      <c r="F87" s="19" t="s">
        <v>15</v>
      </c>
      <c r="G87" s="19" t="s">
        <v>85</v>
      </c>
      <c r="H87" s="20" t="s">
        <v>2</v>
      </c>
      <c r="I87" s="20" t="s">
        <v>4</v>
      </c>
      <c r="J87" s="20" t="s">
        <v>3</v>
      </c>
      <c r="K87" s="20" t="s">
        <v>2</v>
      </c>
      <c r="L87" s="20" t="s">
        <v>8</v>
      </c>
      <c r="M87" s="20" t="s">
        <v>8</v>
      </c>
      <c r="N87" s="20" t="s">
        <v>8</v>
      </c>
      <c r="O87" s="11" t="s">
        <v>17</v>
      </c>
      <c r="P87" s="4">
        <v>8.7222222222222214</v>
      </c>
    </row>
    <row r="88" spans="1:16" s="5" customFormat="1" ht="42" customHeight="1">
      <c r="A88" s="2">
        <v>86</v>
      </c>
      <c r="B88" s="17">
        <v>2558720014</v>
      </c>
      <c r="C88" s="17">
        <v>250371611174</v>
      </c>
      <c r="D88" s="18" t="s">
        <v>588</v>
      </c>
      <c r="E88" s="17" t="s">
        <v>22</v>
      </c>
      <c r="F88" s="19" t="s">
        <v>15</v>
      </c>
      <c r="G88" s="19" t="s">
        <v>85</v>
      </c>
      <c r="H88" s="20" t="s">
        <v>2</v>
      </c>
      <c r="I88" s="20" t="s">
        <v>3</v>
      </c>
      <c r="J88" s="20" t="s">
        <v>2</v>
      </c>
      <c r="K88" s="20" t="s">
        <v>2</v>
      </c>
      <c r="L88" s="20" t="s">
        <v>2</v>
      </c>
      <c r="M88" s="20" t="s">
        <v>2</v>
      </c>
      <c r="N88" s="20" t="s">
        <v>8</v>
      </c>
      <c r="O88" s="11" t="s">
        <v>17</v>
      </c>
      <c r="P88" s="4">
        <v>8.8888888888888893</v>
      </c>
    </row>
    <row r="89" spans="1:16" s="5" customFormat="1" ht="42" customHeight="1">
      <c r="A89" s="2">
        <v>87</v>
      </c>
      <c r="B89" s="17">
        <v>2558720165</v>
      </c>
      <c r="C89" s="17">
        <v>250371611175</v>
      </c>
      <c r="D89" s="18" t="s">
        <v>589</v>
      </c>
      <c r="E89" s="17" t="s">
        <v>22</v>
      </c>
      <c r="F89" s="19" t="s">
        <v>15</v>
      </c>
      <c r="G89" s="19" t="s">
        <v>85</v>
      </c>
      <c r="H89" s="20" t="s">
        <v>2</v>
      </c>
      <c r="I89" s="20" t="s">
        <v>2</v>
      </c>
      <c r="J89" s="20" t="s">
        <v>8</v>
      </c>
      <c r="K89" s="20" t="s">
        <v>2</v>
      </c>
      <c r="L89" s="20" t="s">
        <v>2</v>
      </c>
      <c r="M89" s="20" t="s">
        <v>2</v>
      </c>
      <c r="N89" s="20" t="s">
        <v>8</v>
      </c>
      <c r="O89" s="11" t="s">
        <v>17</v>
      </c>
      <c r="P89" s="4">
        <v>9.2777777777777786</v>
      </c>
    </row>
    <row r="90" spans="1:16" s="5" customFormat="1" ht="42" customHeight="1">
      <c r="A90" s="2">
        <v>88</v>
      </c>
      <c r="B90" s="17">
        <v>2558720194</v>
      </c>
      <c r="C90" s="17">
        <v>250371611178</v>
      </c>
      <c r="D90" s="18" t="s">
        <v>590</v>
      </c>
      <c r="E90" s="17" t="s">
        <v>22</v>
      </c>
      <c r="F90" s="19" t="s">
        <v>15</v>
      </c>
      <c r="G90" s="19" t="s">
        <v>85</v>
      </c>
      <c r="H90" s="20" t="s">
        <v>2</v>
      </c>
      <c r="I90" s="20" t="s">
        <v>3</v>
      </c>
      <c r="J90" s="20" t="s">
        <v>2</v>
      </c>
      <c r="K90" s="20" t="s">
        <v>2</v>
      </c>
      <c r="L90" s="20" t="s">
        <v>3</v>
      </c>
      <c r="M90" s="20" t="s">
        <v>2</v>
      </c>
      <c r="N90" s="20" t="s">
        <v>2</v>
      </c>
      <c r="O90" s="11" t="s">
        <v>17</v>
      </c>
      <c r="P90" s="4">
        <v>8.6666666666666661</v>
      </c>
    </row>
    <row r="91" spans="1:16" s="5" customFormat="1" ht="42" customHeight="1">
      <c r="A91" s="2">
        <v>89</v>
      </c>
      <c r="B91" s="17">
        <v>2558720168</v>
      </c>
      <c r="C91" s="17">
        <v>250371611179</v>
      </c>
      <c r="D91" s="18" t="s">
        <v>591</v>
      </c>
      <c r="E91" s="17" t="s">
        <v>22</v>
      </c>
      <c r="F91" s="19" t="s">
        <v>15</v>
      </c>
      <c r="G91" s="19" t="s">
        <v>85</v>
      </c>
      <c r="H91" s="20" t="s">
        <v>2</v>
      </c>
      <c r="I91" s="20" t="s">
        <v>2</v>
      </c>
      <c r="J91" s="20" t="s">
        <v>3</v>
      </c>
      <c r="K91" s="20" t="s">
        <v>2</v>
      </c>
      <c r="L91" s="20" t="s">
        <v>3</v>
      </c>
      <c r="M91" s="20" t="s">
        <v>2</v>
      </c>
      <c r="N91" s="20" t="s">
        <v>2</v>
      </c>
      <c r="O91" s="11" t="s">
        <v>17</v>
      </c>
      <c r="P91" s="4">
        <v>8.6111111111111107</v>
      </c>
    </row>
    <row r="92" spans="1:16" s="5" customFormat="1" ht="42" customHeight="1">
      <c r="A92" s="2">
        <v>90</v>
      </c>
      <c r="B92" s="17">
        <v>2558720213</v>
      </c>
      <c r="C92" s="17">
        <v>250371611180</v>
      </c>
      <c r="D92" s="18" t="s">
        <v>592</v>
      </c>
      <c r="E92" s="17" t="s">
        <v>22</v>
      </c>
      <c r="F92" s="19" t="s">
        <v>15</v>
      </c>
      <c r="G92" s="19" t="s">
        <v>85</v>
      </c>
      <c r="H92" s="20" t="s">
        <v>2</v>
      </c>
      <c r="I92" s="20" t="s">
        <v>8</v>
      </c>
      <c r="J92" s="20" t="s">
        <v>2</v>
      </c>
      <c r="K92" s="20" t="s">
        <v>2</v>
      </c>
      <c r="L92" s="20" t="s">
        <v>2</v>
      </c>
      <c r="M92" s="20" t="s">
        <v>2</v>
      </c>
      <c r="N92" s="20" t="s">
        <v>8</v>
      </c>
      <c r="O92" s="11" t="s">
        <v>17</v>
      </c>
      <c r="P92" s="4">
        <v>9.2222222222222214</v>
      </c>
    </row>
    <row r="93" spans="1:16" s="5" customFormat="1" ht="42" customHeight="1">
      <c r="A93" s="2">
        <v>91</v>
      </c>
      <c r="B93" s="17">
        <v>2558720086</v>
      </c>
      <c r="C93" s="17">
        <v>250371611181</v>
      </c>
      <c r="D93" s="18" t="s">
        <v>593</v>
      </c>
      <c r="E93" s="17" t="s">
        <v>22</v>
      </c>
      <c r="F93" s="19" t="s">
        <v>15</v>
      </c>
      <c r="G93" s="19" t="s">
        <v>85</v>
      </c>
      <c r="H93" s="20" t="s">
        <v>4</v>
      </c>
      <c r="I93" s="20" t="s">
        <v>3</v>
      </c>
      <c r="J93" s="20" t="s">
        <v>2</v>
      </c>
      <c r="K93" s="20" t="s">
        <v>3</v>
      </c>
      <c r="L93" s="20" t="s">
        <v>3</v>
      </c>
      <c r="M93" s="20" t="s">
        <v>2</v>
      </c>
      <c r="N93" s="20" t="s">
        <v>2</v>
      </c>
      <c r="O93" s="11" t="s">
        <v>17</v>
      </c>
      <c r="P93" s="4">
        <v>8.1666666666666661</v>
      </c>
    </row>
    <row r="94" spans="1:16" s="5" customFormat="1" ht="42" customHeight="1">
      <c r="A94" s="2">
        <v>92</v>
      </c>
      <c r="B94" s="17">
        <v>2558720159</v>
      </c>
      <c r="C94" s="17">
        <v>250371611182</v>
      </c>
      <c r="D94" s="18" t="s">
        <v>594</v>
      </c>
      <c r="E94" s="17" t="s">
        <v>22</v>
      </c>
      <c r="F94" s="19" t="s">
        <v>15</v>
      </c>
      <c r="G94" s="19" t="s">
        <v>85</v>
      </c>
      <c r="H94" s="20" t="s">
        <v>8</v>
      </c>
      <c r="I94" s="20" t="s">
        <v>8</v>
      </c>
      <c r="J94" s="20" t="s">
        <v>2</v>
      </c>
      <c r="K94" s="20" t="s">
        <v>2</v>
      </c>
      <c r="L94" s="20" t="s">
        <v>8</v>
      </c>
      <c r="M94" s="20" t="s">
        <v>8</v>
      </c>
      <c r="N94" s="20" t="s">
        <v>8</v>
      </c>
      <c r="O94" s="11" t="s">
        <v>17</v>
      </c>
      <c r="P94" s="4">
        <v>9.6111111111111107</v>
      </c>
    </row>
    <row r="95" spans="1:16" s="5" customFormat="1" ht="42" customHeight="1">
      <c r="A95" s="2">
        <v>93</v>
      </c>
      <c r="B95" s="17">
        <v>2558720015</v>
      </c>
      <c r="C95" s="17">
        <v>250371611183</v>
      </c>
      <c r="D95" s="18" t="s">
        <v>595</v>
      </c>
      <c r="E95" s="17" t="s">
        <v>22</v>
      </c>
      <c r="F95" s="19" t="s">
        <v>15</v>
      </c>
      <c r="G95" s="19" t="s">
        <v>85</v>
      </c>
      <c r="H95" s="20" t="s">
        <v>8</v>
      </c>
      <c r="I95" s="20" t="s">
        <v>6</v>
      </c>
      <c r="J95" s="20" t="s">
        <v>5</v>
      </c>
      <c r="K95" s="20" t="s">
        <v>4</v>
      </c>
      <c r="L95" s="20" t="s">
        <v>4</v>
      </c>
      <c r="M95" s="20" t="s">
        <v>2</v>
      </c>
      <c r="N95" s="20" t="s">
        <v>2</v>
      </c>
      <c r="O95" s="11" t="s">
        <v>17</v>
      </c>
      <c r="P95" s="4">
        <v>7.166666666666667</v>
      </c>
    </row>
    <row r="96" spans="1:16" s="5" customFormat="1" ht="42" customHeight="1">
      <c r="A96" s="2">
        <v>94</v>
      </c>
      <c r="B96" s="17">
        <v>2558720174</v>
      </c>
      <c r="C96" s="17">
        <v>250371611184</v>
      </c>
      <c r="D96" s="18" t="s">
        <v>596</v>
      </c>
      <c r="E96" s="17" t="s">
        <v>22</v>
      </c>
      <c r="F96" s="19" t="s">
        <v>15</v>
      </c>
      <c r="G96" s="19" t="s">
        <v>85</v>
      </c>
      <c r="H96" s="20" t="s">
        <v>2</v>
      </c>
      <c r="I96" s="20" t="s">
        <v>2</v>
      </c>
      <c r="J96" s="20" t="s">
        <v>2</v>
      </c>
      <c r="K96" s="20" t="s">
        <v>8</v>
      </c>
      <c r="L96" s="20" t="s">
        <v>8</v>
      </c>
      <c r="M96" s="20" t="s">
        <v>8</v>
      </c>
      <c r="N96" s="20" t="s">
        <v>8</v>
      </c>
      <c r="O96" s="11" t="s">
        <v>17</v>
      </c>
      <c r="P96" s="4">
        <v>9.4444444444444446</v>
      </c>
    </row>
    <row r="97" spans="1:16" s="5" customFormat="1" ht="42" customHeight="1">
      <c r="A97" s="2">
        <v>95</v>
      </c>
      <c r="B97" s="17">
        <v>2558720190</v>
      </c>
      <c r="C97" s="17">
        <v>250371611190</v>
      </c>
      <c r="D97" s="18" t="s">
        <v>597</v>
      </c>
      <c r="E97" s="17" t="s">
        <v>22</v>
      </c>
      <c r="F97" s="19" t="s">
        <v>15</v>
      </c>
      <c r="G97" s="19" t="s">
        <v>85</v>
      </c>
      <c r="H97" s="20" t="s">
        <v>8</v>
      </c>
      <c r="I97" s="20" t="s">
        <v>3</v>
      </c>
      <c r="J97" s="20" t="s">
        <v>2</v>
      </c>
      <c r="K97" s="20" t="s">
        <v>2</v>
      </c>
      <c r="L97" s="20" t="s">
        <v>2</v>
      </c>
      <c r="M97" s="20" t="s">
        <v>8</v>
      </c>
      <c r="N97" s="20" t="s">
        <v>8</v>
      </c>
      <c r="O97" s="11" t="s">
        <v>17</v>
      </c>
      <c r="P97" s="4">
        <v>9.1111111111111107</v>
      </c>
    </row>
    <row r="98" spans="1:16" s="5" customFormat="1" ht="42" customHeight="1">
      <c r="A98" s="2">
        <v>96</v>
      </c>
      <c r="B98" s="17">
        <v>2558720197</v>
      </c>
      <c r="C98" s="17">
        <v>250371611192</v>
      </c>
      <c r="D98" s="18" t="s">
        <v>598</v>
      </c>
      <c r="E98" s="17" t="s">
        <v>22</v>
      </c>
      <c r="F98" s="19" t="s">
        <v>15</v>
      </c>
      <c r="G98" s="19" t="s">
        <v>85</v>
      </c>
      <c r="H98" s="20" t="s">
        <v>3</v>
      </c>
      <c r="I98" s="20" t="s">
        <v>11</v>
      </c>
      <c r="J98" s="20" t="s">
        <v>11</v>
      </c>
      <c r="K98" s="20" t="s">
        <v>11</v>
      </c>
      <c r="L98" s="20" t="s">
        <v>5</v>
      </c>
      <c r="M98" s="20" t="s">
        <v>2</v>
      </c>
      <c r="N98" s="20" t="s">
        <v>2</v>
      </c>
      <c r="O98" s="11" t="s">
        <v>17</v>
      </c>
      <c r="P98" s="4">
        <v>5.5555555555555554</v>
      </c>
    </row>
    <row r="99" spans="1:16" s="5" customFormat="1" ht="42" customHeight="1">
      <c r="A99" s="2">
        <v>97</v>
      </c>
      <c r="B99" s="17">
        <v>2558720214</v>
      </c>
      <c r="C99" s="17">
        <v>250371611196</v>
      </c>
      <c r="D99" s="18" t="s">
        <v>599</v>
      </c>
      <c r="E99" s="17" t="s">
        <v>22</v>
      </c>
      <c r="F99" s="19" t="s">
        <v>15</v>
      </c>
      <c r="G99" s="19" t="s">
        <v>85</v>
      </c>
      <c r="H99" s="20" t="s">
        <v>3</v>
      </c>
      <c r="I99" s="20" t="s">
        <v>2</v>
      </c>
      <c r="J99" s="20" t="s">
        <v>6</v>
      </c>
      <c r="K99" s="20" t="s">
        <v>5</v>
      </c>
      <c r="L99" s="20" t="s">
        <v>3</v>
      </c>
      <c r="M99" s="20" t="s">
        <v>2</v>
      </c>
      <c r="N99" s="20" t="s">
        <v>2</v>
      </c>
      <c r="O99" s="11" t="s">
        <v>17</v>
      </c>
      <c r="P99" s="4">
        <v>7.2777777777777777</v>
      </c>
    </row>
    <row r="100" spans="1:16" s="5" customFormat="1" ht="42" customHeight="1">
      <c r="A100" s="2">
        <v>98</v>
      </c>
      <c r="B100" s="17">
        <v>2558720137</v>
      </c>
      <c r="C100" s="17">
        <v>250371611197</v>
      </c>
      <c r="D100" s="18" t="s">
        <v>600</v>
      </c>
      <c r="E100" s="17" t="s">
        <v>22</v>
      </c>
      <c r="F100" s="19" t="s">
        <v>15</v>
      </c>
      <c r="G100" s="19" t="s">
        <v>85</v>
      </c>
      <c r="H100" s="20" t="s">
        <v>2</v>
      </c>
      <c r="I100" s="20" t="s">
        <v>3</v>
      </c>
      <c r="J100" s="20" t="s">
        <v>4</v>
      </c>
      <c r="K100" s="20" t="s">
        <v>3</v>
      </c>
      <c r="L100" s="20" t="s">
        <v>3</v>
      </c>
      <c r="M100" s="20" t="s">
        <v>2</v>
      </c>
      <c r="N100" s="20" t="s">
        <v>2</v>
      </c>
      <c r="O100" s="11" t="s">
        <v>17</v>
      </c>
      <c r="P100" s="4">
        <v>8.0555555555555554</v>
      </c>
    </row>
    <row r="101" spans="1:16" s="5" customFormat="1" ht="42" customHeight="1">
      <c r="A101" s="2">
        <v>99</v>
      </c>
      <c r="B101" s="17">
        <v>2558720228</v>
      </c>
      <c r="C101" s="17">
        <v>250371611198</v>
      </c>
      <c r="D101" s="18" t="s">
        <v>601</v>
      </c>
      <c r="E101" s="17" t="s">
        <v>22</v>
      </c>
      <c r="F101" s="19" t="s">
        <v>15</v>
      </c>
      <c r="G101" s="19" t="s">
        <v>85</v>
      </c>
      <c r="H101" s="20" t="s">
        <v>8</v>
      </c>
      <c r="I101" s="20" t="s">
        <v>8</v>
      </c>
      <c r="J101" s="20" t="s">
        <v>2</v>
      </c>
      <c r="K101" s="20" t="s">
        <v>8</v>
      </c>
      <c r="L101" s="20" t="s">
        <v>8</v>
      </c>
      <c r="M101" s="20" t="s">
        <v>8</v>
      </c>
      <c r="N101" s="20" t="s">
        <v>8</v>
      </c>
      <c r="O101" s="11" t="s">
        <v>17</v>
      </c>
      <c r="P101" s="4">
        <v>9.7777777777777786</v>
      </c>
    </row>
    <row r="102" spans="1:16" s="5" customFormat="1" ht="42" customHeight="1">
      <c r="A102" s="2">
        <v>100</v>
      </c>
      <c r="B102" s="17">
        <v>2558720060</v>
      </c>
      <c r="C102" s="17">
        <v>250371611200</v>
      </c>
      <c r="D102" s="18" t="s">
        <v>602</v>
      </c>
      <c r="E102" s="17" t="s">
        <v>22</v>
      </c>
      <c r="F102" s="19" t="s">
        <v>15</v>
      </c>
      <c r="G102" s="19" t="s">
        <v>85</v>
      </c>
      <c r="H102" s="20" t="s">
        <v>3</v>
      </c>
      <c r="I102" s="20" t="s">
        <v>2</v>
      </c>
      <c r="J102" s="20" t="s">
        <v>4</v>
      </c>
      <c r="K102" s="20" t="s">
        <v>4</v>
      </c>
      <c r="L102" s="20" t="s">
        <v>3</v>
      </c>
      <c r="M102" s="20" t="s">
        <v>2</v>
      </c>
      <c r="N102" s="20" t="s">
        <v>2</v>
      </c>
      <c r="O102" s="11" t="s">
        <v>17</v>
      </c>
      <c r="P102" s="4">
        <v>7.8888888888888893</v>
      </c>
    </row>
    <row r="103" spans="1:16" s="5" customFormat="1" ht="42" customHeight="1">
      <c r="A103" s="2">
        <v>101</v>
      </c>
      <c r="B103" s="17">
        <v>2558720198</v>
      </c>
      <c r="C103" s="17">
        <v>250371611203</v>
      </c>
      <c r="D103" s="18" t="s">
        <v>603</v>
      </c>
      <c r="E103" s="17" t="s">
        <v>22</v>
      </c>
      <c r="F103" s="19" t="s">
        <v>15</v>
      </c>
      <c r="G103" s="19" t="s">
        <v>85</v>
      </c>
      <c r="H103" s="20" t="s">
        <v>3</v>
      </c>
      <c r="I103" s="20" t="s">
        <v>3</v>
      </c>
      <c r="J103" s="20" t="s">
        <v>11</v>
      </c>
      <c r="K103" s="20" t="s">
        <v>11</v>
      </c>
      <c r="L103" s="20" t="s">
        <v>4</v>
      </c>
      <c r="M103" s="20" t="s">
        <v>2</v>
      </c>
      <c r="N103" s="20" t="s">
        <v>2</v>
      </c>
      <c r="O103" s="11" t="s">
        <v>17</v>
      </c>
      <c r="P103" s="4">
        <v>6.3888888888888893</v>
      </c>
    </row>
    <row r="104" spans="1:16" s="5" customFormat="1" ht="42" customHeight="1">
      <c r="A104" s="2">
        <v>102</v>
      </c>
      <c r="B104" s="17">
        <v>2558720219</v>
      </c>
      <c r="C104" s="17">
        <v>250371611206</v>
      </c>
      <c r="D104" s="18" t="s">
        <v>604</v>
      </c>
      <c r="E104" s="17" t="s">
        <v>22</v>
      </c>
      <c r="F104" s="19" t="s">
        <v>15</v>
      </c>
      <c r="G104" s="19" t="s">
        <v>85</v>
      </c>
      <c r="H104" s="20" t="s">
        <v>2</v>
      </c>
      <c r="I104" s="20" t="s">
        <v>2</v>
      </c>
      <c r="J104" s="20" t="s">
        <v>3</v>
      </c>
      <c r="K104" s="20" t="s">
        <v>2</v>
      </c>
      <c r="L104" s="20" t="s">
        <v>8</v>
      </c>
      <c r="M104" s="20" t="s">
        <v>8</v>
      </c>
      <c r="N104" s="20" t="s">
        <v>8</v>
      </c>
      <c r="O104" s="11" t="s">
        <v>17</v>
      </c>
      <c r="P104" s="4">
        <v>9.0555555555555554</v>
      </c>
    </row>
    <row r="105" spans="1:16" s="5" customFormat="1" ht="42" customHeight="1">
      <c r="A105" s="2">
        <v>103</v>
      </c>
      <c r="B105" s="17">
        <v>2558720075</v>
      </c>
      <c r="C105" s="17">
        <v>250371611207</v>
      </c>
      <c r="D105" s="18" t="s">
        <v>605</v>
      </c>
      <c r="E105" s="17" t="s">
        <v>22</v>
      </c>
      <c r="F105" s="19" t="s">
        <v>15</v>
      </c>
      <c r="G105" s="19" t="s">
        <v>85</v>
      </c>
      <c r="H105" s="20" t="s">
        <v>3</v>
      </c>
      <c r="I105" s="20" t="s">
        <v>5</v>
      </c>
      <c r="J105" s="20" t="s">
        <v>11</v>
      </c>
      <c r="K105" s="20" t="s">
        <v>11</v>
      </c>
      <c r="L105" s="20" t="s">
        <v>5</v>
      </c>
      <c r="M105" s="20" t="s">
        <v>2</v>
      </c>
      <c r="N105" s="20" t="s">
        <v>2</v>
      </c>
      <c r="O105" s="11" t="s">
        <v>17</v>
      </c>
      <c r="P105" s="4">
        <v>5.8888888888888893</v>
      </c>
    </row>
    <row r="106" spans="1:16" s="5" customFormat="1" ht="42" customHeight="1">
      <c r="A106" s="2">
        <v>104</v>
      </c>
      <c r="B106" s="17">
        <v>2558720062</v>
      </c>
      <c r="C106" s="17">
        <v>250371611208</v>
      </c>
      <c r="D106" s="18" t="s">
        <v>606</v>
      </c>
      <c r="E106" s="17" t="s">
        <v>22</v>
      </c>
      <c r="F106" s="19" t="s">
        <v>15</v>
      </c>
      <c r="G106" s="19" t="s">
        <v>85</v>
      </c>
      <c r="H106" s="20" t="s">
        <v>4</v>
      </c>
      <c r="I106" s="20" t="s">
        <v>3</v>
      </c>
      <c r="J106" s="20" t="s">
        <v>5</v>
      </c>
      <c r="K106" s="20" t="s">
        <v>11</v>
      </c>
      <c r="L106" s="20" t="s">
        <v>4</v>
      </c>
      <c r="M106" s="20" t="s">
        <v>2</v>
      </c>
      <c r="N106" s="20" t="s">
        <v>2</v>
      </c>
      <c r="O106" s="11" t="s">
        <v>17</v>
      </c>
      <c r="P106" s="4">
        <v>6.666666666666667</v>
      </c>
    </row>
    <row r="107" spans="1:16" s="5" customFormat="1" ht="42" customHeight="1">
      <c r="A107" s="2">
        <v>105</v>
      </c>
      <c r="B107" s="17">
        <v>2558720121</v>
      </c>
      <c r="C107" s="17">
        <v>250371611211</v>
      </c>
      <c r="D107" s="18" t="s">
        <v>607</v>
      </c>
      <c r="E107" s="17" t="s">
        <v>22</v>
      </c>
      <c r="F107" s="19" t="s">
        <v>15</v>
      </c>
      <c r="G107" s="19" t="s">
        <v>85</v>
      </c>
      <c r="H107" s="20" t="s">
        <v>2</v>
      </c>
      <c r="I107" s="20" t="s">
        <v>3</v>
      </c>
      <c r="J107" s="20" t="s">
        <v>5</v>
      </c>
      <c r="K107" s="20" t="s">
        <v>4</v>
      </c>
      <c r="L107" s="20" t="s">
        <v>2</v>
      </c>
      <c r="M107" s="20" t="s">
        <v>2</v>
      </c>
      <c r="N107" s="20" t="s">
        <v>8</v>
      </c>
      <c r="O107" s="11" t="s">
        <v>17</v>
      </c>
      <c r="P107" s="4">
        <v>7.8888888888888893</v>
      </c>
    </row>
    <row r="108" spans="1:16" s="5" customFormat="1" ht="42" customHeight="1">
      <c r="A108" s="2">
        <v>106</v>
      </c>
      <c r="B108" s="17">
        <v>2558720117</v>
      </c>
      <c r="C108" s="17">
        <v>250371611215</v>
      </c>
      <c r="D108" s="18" t="s">
        <v>608</v>
      </c>
      <c r="E108" s="17" t="s">
        <v>22</v>
      </c>
      <c r="F108" s="19" t="s">
        <v>15</v>
      </c>
      <c r="G108" s="19" t="s">
        <v>85</v>
      </c>
      <c r="H108" s="20" t="s">
        <v>8</v>
      </c>
      <c r="I108" s="20" t="s">
        <v>8</v>
      </c>
      <c r="J108" s="20" t="s">
        <v>2</v>
      </c>
      <c r="K108" s="20" t="s">
        <v>8</v>
      </c>
      <c r="L108" s="20" t="s">
        <v>8</v>
      </c>
      <c r="M108" s="20" t="s">
        <v>8</v>
      </c>
      <c r="N108" s="20" t="s">
        <v>8</v>
      </c>
      <c r="O108" s="11" t="s">
        <v>17</v>
      </c>
      <c r="P108" s="4">
        <v>9.7777777777777786</v>
      </c>
    </row>
    <row r="109" spans="1:16" s="5" customFormat="1" ht="42" customHeight="1">
      <c r="A109" s="2">
        <v>107</v>
      </c>
      <c r="B109" s="17">
        <v>2558720153</v>
      </c>
      <c r="C109" s="17">
        <v>250371611216</v>
      </c>
      <c r="D109" s="18" t="s">
        <v>609</v>
      </c>
      <c r="E109" s="17" t="s">
        <v>22</v>
      </c>
      <c r="F109" s="19" t="s">
        <v>15</v>
      </c>
      <c r="G109" s="19" t="s">
        <v>85</v>
      </c>
      <c r="H109" s="20" t="s">
        <v>2</v>
      </c>
      <c r="I109" s="20" t="s">
        <v>4</v>
      </c>
      <c r="J109" s="20" t="s">
        <v>5</v>
      </c>
      <c r="K109" s="20" t="s">
        <v>3</v>
      </c>
      <c r="L109" s="20" t="s">
        <v>2</v>
      </c>
      <c r="M109" s="20" t="s">
        <v>2</v>
      </c>
      <c r="N109" s="20" t="s">
        <v>2</v>
      </c>
      <c r="O109" s="11" t="s">
        <v>17</v>
      </c>
      <c r="P109" s="4">
        <v>7.833333333333333</v>
      </c>
    </row>
  </sheetData>
  <autoFilter ref="A1:P109">
    <filterColumn colId="6"/>
    <filterColumn colId="11"/>
    <filterColumn colId="12"/>
    <filterColumn colId="13"/>
  </autoFilter>
  <mergeCells count="8">
    <mergeCell ref="G1:G2"/>
    <mergeCell ref="P1:P2"/>
    <mergeCell ref="A1:A2"/>
    <mergeCell ref="B1:B2"/>
    <mergeCell ref="C1:C2"/>
    <mergeCell ref="D1:D2"/>
    <mergeCell ref="E1:E2"/>
    <mergeCell ref="F1:F2"/>
  </mergeCells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P4"/>
  <sheetViews>
    <sheetView topLeftCell="C1" workbookViewId="0">
      <selection activeCell="L39" sqref="L39"/>
    </sheetView>
  </sheetViews>
  <sheetFormatPr defaultRowHeight="15"/>
  <cols>
    <col min="1" max="1" width="6.5703125" style="6" bestFit="1" customWidth="1"/>
    <col min="2" max="2" width="16.28515625" style="6" customWidth="1"/>
    <col min="3" max="3" width="18.28515625" style="6" bestFit="1" customWidth="1"/>
    <col min="4" max="4" width="44.5703125" style="6" customWidth="1"/>
    <col min="5" max="5" width="12.140625" style="9" customWidth="1"/>
    <col min="6" max="7" width="13.42578125" style="6" customWidth="1"/>
    <col min="8" max="8" width="17.85546875" style="6" customWidth="1"/>
    <col min="9" max="9" width="18.5703125" style="6" customWidth="1"/>
    <col min="10" max="10" width="18.85546875" style="6" customWidth="1"/>
    <col min="11" max="15" width="17.85546875" style="6" customWidth="1"/>
    <col min="16" max="16" width="9.140625" style="7" customWidth="1"/>
    <col min="17" max="16384" width="9.140625" style="6"/>
  </cols>
  <sheetData>
    <row r="1" spans="1:16" s="8" customFormat="1" ht="127.5" customHeight="1">
      <c r="A1" s="53" t="s">
        <v>1</v>
      </c>
      <c r="B1" s="53" t="s">
        <v>16</v>
      </c>
      <c r="C1" s="53" t="s">
        <v>12</v>
      </c>
      <c r="D1" s="53" t="s">
        <v>13</v>
      </c>
      <c r="E1" s="53" t="s">
        <v>14</v>
      </c>
      <c r="F1" s="53" t="s">
        <v>0</v>
      </c>
      <c r="G1" s="53" t="s">
        <v>31</v>
      </c>
      <c r="H1" s="1" t="s">
        <v>78</v>
      </c>
      <c r="I1" s="1" t="s">
        <v>610</v>
      </c>
      <c r="J1" s="1" t="s">
        <v>80</v>
      </c>
      <c r="K1" s="1" t="s">
        <v>391</v>
      </c>
      <c r="L1" s="1" t="s">
        <v>392</v>
      </c>
      <c r="M1" s="1" t="s">
        <v>393</v>
      </c>
      <c r="N1" s="1" t="s">
        <v>394</v>
      </c>
      <c r="O1" s="1" t="s">
        <v>10</v>
      </c>
      <c r="P1" s="55" t="s">
        <v>9</v>
      </c>
    </row>
    <row r="2" spans="1:16" s="8" customFormat="1" ht="29.25" customHeight="1">
      <c r="A2" s="54"/>
      <c r="B2" s="54"/>
      <c r="C2" s="54"/>
      <c r="D2" s="54"/>
      <c r="E2" s="54"/>
      <c r="F2" s="54"/>
      <c r="G2" s="54"/>
      <c r="H2" s="10">
        <v>3</v>
      </c>
      <c r="I2" s="10">
        <v>3</v>
      </c>
      <c r="J2" s="10">
        <v>4</v>
      </c>
      <c r="K2" s="10">
        <v>3</v>
      </c>
      <c r="L2" s="10">
        <v>3</v>
      </c>
      <c r="M2" s="10">
        <v>1</v>
      </c>
      <c r="N2" s="10">
        <v>1</v>
      </c>
      <c r="O2" s="10">
        <f>SUM(H2:N2)</f>
        <v>18</v>
      </c>
      <c r="P2" s="56"/>
    </row>
    <row r="3" spans="1:16" s="5" customFormat="1" ht="42" customHeight="1">
      <c r="A3" s="2"/>
      <c r="B3" s="17">
        <v>2558720265</v>
      </c>
      <c r="C3" s="17">
        <v>250371611034</v>
      </c>
      <c r="D3" s="18" t="s">
        <v>611</v>
      </c>
      <c r="E3" s="17" t="s">
        <v>22</v>
      </c>
      <c r="F3" s="19" t="s">
        <v>15</v>
      </c>
      <c r="G3" s="19" t="s">
        <v>612</v>
      </c>
      <c r="H3" s="20" t="s">
        <v>6</v>
      </c>
      <c r="I3" s="20" t="s">
        <v>8</v>
      </c>
      <c r="J3" s="20" t="s">
        <v>11</v>
      </c>
      <c r="K3" s="20" t="s">
        <v>6</v>
      </c>
      <c r="L3" s="20" t="s">
        <v>11</v>
      </c>
      <c r="M3" s="20" t="s">
        <v>2</v>
      </c>
      <c r="N3" s="20" t="s">
        <v>2</v>
      </c>
      <c r="O3" s="11" t="s">
        <v>17</v>
      </c>
      <c r="P3" s="4">
        <v>5.8888888888888893</v>
      </c>
    </row>
    <row r="4" spans="1:16" s="5" customFormat="1" ht="42" customHeight="1">
      <c r="A4" s="2"/>
      <c r="B4" s="17">
        <v>2558720264</v>
      </c>
      <c r="C4" s="17">
        <v>250371611149</v>
      </c>
      <c r="D4" s="18" t="s">
        <v>613</v>
      </c>
      <c r="E4" s="17" t="s">
        <v>22</v>
      </c>
      <c r="F4" s="19" t="s">
        <v>15</v>
      </c>
      <c r="G4" s="19" t="s">
        <v>612</v>
      </c>
      <c r="H4" s="20" t="s">
        <v>3</v>
      </c>
      <c r="I4" s="20" t="s">
        <v>8</v>
      </c>
      <c r="J4" s="20" t="s">
        <v>3</v>
      </c>
      <c r="K4" s="20" t="s">
        <v>3</v>
      </c>
      <c r="L4" s="20" t="s">
        <v>5</v>
      </c>
      <c r="M4" s="20" t="s">
        <v>2</v>
      </c>
      <c r="N4" s="20" t="s">
        <v>8</v>
      </c>
      <c r="O4" s="11" t="s">
        <v>17</v>
      </c>
      <c r="P4" s="4">
        <v>8.1666666666666661</v>
      </c>
    </row>
  </sheetData>
  <autoFilter ref="A1:P3">
    <filterColumn colId="6"/>
    <filterColumn colId="11"/>
    <filterColumn colId="12"/>
    <filterColumn colId="13"/>
  </autoFilter>
  <mergeCells count="8">
    <mergeCell ref="G1:G2"/>
    <mergeCell ref="P1:P2"/>
    <mergeCell ref="A1:A2"/>
    <mergeCell ref="B1:B2"/>
    <mergeCell ref="C1:C2"/>
    <mergeCell ref="D1:D2"/>
    <mergeCell ref="E1:E2"/>
    <mergeCell ref="F1:F2"/>
  </mergeCells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P71"/>
  <sheetViews>
    <sheetView zoomScale="85" zoomScaleNormal="85" workbookViewId="0">
      <selection activeCell="L39" sqref="L39"/>
    </sheetView>
  </sheetViews>
  <sheetFormatPr defaultRowHeight="15"/>
  <cols>
    <col min="1" max="1" width="6.5703125" style="6" bestFit="1" customWidth="1"/>
    <col min="2" max="2" width="16.28515625" style="6" customWidth="1"/>
    <col min="3" max="3" width="18.28515625" style="6" bestFit="1" customWidth="1"/>
    <col min="4" max="4" width="44.5703125" style="6" customWidth="1"/>
    <col min="5" max="5" width="12.140625" style="9" customWidth="1"/>
    <col min="6" max="7" width="13.42578125" style="6" customWidth="1"/>
    <col min="8" max="8" width="17.85546875" style="6" customWidth="1"/>
    <col min="9" max="9" width="18.5703125" style="6" customWidth="1"/>
    <col min="10" max="10" width="18.85546875" style="6" customWidth="1"/>
    <col min="11" max="15" width="17.85546875" style="6" customWidth="1"/>
    <col min="16" max="16" width="8.5703125" style="7" bestFit="1" customWidth="1"/>
    <col min="17" max="16384" width="9.140625" style="6"/>
  </cols>
  <sheetData>
    <row r="1" spans="1:16" s="8" customFormat="1" ht="127.5" customHeight="1">
      <c r="A1" s="53" t="s">
        <v>1</v>
      </c>
      <c r="B1" s="53" t="s">
        <v>16</v>
      </c>
      <c r="C1" s="53" t="s">
        <v>12</v>
      </c>
      <c r="D1" s="53" t="s">
        <v>13</v>
      </c>
      <c r="E1" s="53" t="s">
        <v>14</v>
      </c>
      <c r="F1" s="53" t="s">
        <v>0</v>
      </c>
      <c r="G1" s="53" t="s">
        <v>31</v>
      </c>
      <c r="H1" s="1" t="s">
        <v>78</v>
      </c>
      <c r="I1" s="1" t="s">
        <v>79</v>
      </c>
      <c r="J1" s="1" t="s">
        <v>80</v>
      </c>
      <c r="K1" s="1" t="s">
        <v>391</v>
      </c>
      <c r="L1" s="1" t="s">
        <v>392</v>
      </c>
      <c r="M1" s="1" t="s">
        <v>393</v>
      </c>
      <c r="N1" s="1" t="s">
        <v>394</v>
      </c>
      <c r="O1" s="1" t="s">
        <v>10</v>
      </c>
      <c r="P1" s="55" t="s">
        <v>9</v>
      </c>
    </row>
    <row r="2" spans="1:16" s="8" customFormat="1" ht="29.25" customHeight="1">
      <c r="A2" s="54"/>
      <c r="B2" s="54"/>
      <c r="C2" s="54"/>
      <c r="D2" s="54"/>
      <c r="E2" s="54"/>
      <c r="F2" s="54"/>
      <c r="G2" s="54"/>
      <c r="H2" s="10">
        <v>3</v>
      </c>
      <c r="I2" s="10">
        <v>3</v>
      </c>
      <c r="J2" s="10">
        <v>4</v>
      </c>
      <c r="K2" s="10">
        <v>3</v>
      </c>
      <c r="L2" s="10">
        <v>3</v>
      </c>
      <c r="M2" s="10">
        <v>1</v>
      </c>
      <c r="N2" s="10">
        <v>1</v>
      </c>
      <c r="O2" s="10">
        <f>SUM(H2:N2)</f>
        <v>18</v>
      </c>
      <c r="P2" s="56"/>
    </row>
    <row r="3" spans="1:16" s="5" customFormat="1" ht="42" customHeight="1">
      <c r="A3" s="2">
        <v>1</v>
      </c>
      <c r="B3" s="12">
        <v>2544640991</v>
      </c>
      <c r="C3" s="21">
        <v>250371613002</v>
      </c>
      <c r="D3" s="22" t="s">
        <v>1246</v>
      </c>
      <c r="E3" s="12" t="s">
        <v>28</v>
      </c>
      <c r="F3" s="14" t="s">
        <v>15</v>
      </c>
      <c r="G3" s="19" t="s">
        <v>34</v>
      </c>
      <c r="H3" s="20" t="s">
        <v>3</v>
      </c>
      <c r="I3" s="20" t="s">
        <v>2</v>
      </c>
      <c r="J3" s="20" t="s">
        <v>4</v>
      </c>
      <c r="K3" s="20" t="s">
        <v>8</v>
      </c>
      <c r="L3" s="20" t="s">
        <v>2</v>
      </c>
      <c r="M3" s="20" t="s">
        <v>2</v>
      </c>
      <c r="N3" s="20" t="s">
        <v>2</v>
      </c>
      <c r="O3" s="11" t="s">
        <v>17</v>
      </c>
      <c r="P3" s="4">
        <v>8.5555555555555554</v>
      </c>
    </row>
    <row r="4" spans="1:16" s="5" customFormat="1" ht="42" customHeight="1">
      <c r="A4" s="2">
        <v>2</v>
      </c>
      <c r="B4" s="12">
        <v>2544640701</v>
      </c>
      <c r="C4" s="21">
        <v>250371613004</v>
      </c>
      <c r="D4" s="22" t="s">
        <v>1247</v>
      </c>
      <c r="E4" s="12" t="s">
        <v>28</v>
      </c>
      <c r="F4" s="14" t="s">
        <v>15</v>
      </c>
      <c r="G4" s="19" t="s">
        <v>34</v>
      </c>
      <c r="H4" s="20" t="s">
        <v>4</v>
      </c>
      <c r="I4" s="20" t="s">
        <v>8</v>
      </c>
      <c r="J4" s="20" t="s">
        <v>3</v>
      </c>
      <c r="K4" s="20" t="s">
        <v>2</v>
      </c>
      <c r="L4" s="20" t="s">
        <v>4</v>
      </c>
      <c r="M4" s="20" t="s">
        <v>3</v>
      </c>
      <c r="N4" s="20" t="s">
        <v>2</v>
      </c>
      <c r="O4" s="11" t="s">
        <v>17</v>
      </c>
      <c r="P4" s="4">
        <v>8.2222222222222214</v>
      </c>
    </row>
    <row r="5" spans="1:16" s="5" customFormat="1" ht="42" customHeight="1">
      <c r="A5" s="2">
        <v>3</v>
      </c>
      <c r="B5" s="12">
        <v>2544640017</v>
      </c>
      <c r="C5" s="21">
        <v>250371613006</v>
      </c>
      <c r="D5" s="22" t="s">
        <v>1248</v>
      </c>
      <c r="E5" s="12" t="s">
        <v>28</v>
      </c>
      <c r="F5" s="14" t="s">
        <v>15</v>
      </c>
      <c r="G5" s="19" t="s">
        <v>34</v>
      </c>
      <c r="H5" s="20" t="s">
        <v>3</v>
      </c>
      <c r="I5" s="20" t="s">
        <v>8</v>
      </c>
      <c r="J5" s="20" t="s">
        <v>3</v>
      </c>
      <c r="K5" s="20" t="s">
        <v>4</v>
      </c>
      <c r="L5" s="20" t="s">
        <v>8</v>
      </c>
      <c r="M5" s="20" t="s">
        <v>2</v>
      </c>
      <c r="N5" s="20" t="s">
        <v>2</v>
      </c>
      <c r="O5" s="11" t="s">
        <v>17</v>
      </c>
      <c r="P5" s="4">
        <v>8.6111111111111107</v>
      </c>
    </row>
    <row r="6" spans="1:16" s="5" customFormat="1" ht="42" customHeight="1">
      <c r="A6" s="2">
        <v>4</v>
      </c>
      <c r="B6" s="12">
        <v>2544640937</v>
      </c>
      <c r="C6" s="21">
        <v>250371613008</v>
      </c>
      <c r="D6" s="22" t="s">
        <v>1249</v>
      </c>
      <c r="E6" s="12" t="s">
        <v>28</v>
      </c>
      <c r="F6" s="14" t="s">
        <v>15</v>
      </c>
      <c r="G6" s="19" t="s">
        <v>34</v>
      </c>
      <c r="H6" s="20" t="s">
        <v>5</v>
      </c>
      <c r="I6" s="20" t="s">
        <v>2</v>
      </c>
      <c r="J6" s="20" t="s">
        <v>3</v>
      </c>
      <c r="K6" s="20" t="s">
        <v>3</v>
      </c>
      <c r="L6" s="20" t="s">
        <v>8</v>
      </c>
      <c r="M6" s="20" t="s">
        <v>2</v>
      </c>
      <c r="N6" s="20" t="s">
        <v>2</v>
      </c>
      <c r="O6" s="11" t="s">
        <v>17</v>
      </c>
      <c r="P6" s="4">
        <v>8.2777777777777786</v>
      </c>
    </row>
    <row r="7" spans="1:16" s="5" customFormat="1" ht="42" customHeight="1">
      <c r="A7" s="2">
        <v>5</v>
      </c>
      <c r="B7" s="12">
        <v>2544640549</v>
      </c>
      <c r="C7" s="21">
        <v>250371613009</v>
      </c>
      <c r="D7" s="22" t="s">
        <v>1250</v>
      </c>
      <c r="E7" s="12" t="s">
        <v>28</v>
      </c>
      <c r="F7" s="14" t="s">
        <v>15</v>
      </c>
      <c r="G7" s="19" t="s">
        <v>34</v>
      </c>
      <c r="H7" s="20" t="s">
        <v>4</v>
      </c>
      <c r="I7" s="20" t="s">
        <v>2</v>
      </c>
      <c r="J7" s="20" t="s">
        <v>2</v>
      </c>
      <c r="K7" s="20" t="s">
        <v>3</v>
      </c>
      <c r="L7" s="20" t="s">
        <v>8</v>
      </c>
      <c r="M7" s="20" t="s">
        <v>3</v>
      </c>
      <c r="N7" s="20" t="s">
        <v>8</v>
      </c>
      <c r="O7" s="11" t="s">
        <v>17</v>
      </c>
      <c r="P7" s="4">
        <v>8.6666666666666661</v>
      </c>
    </row>
    <row r="8" spans="1:16" s="5" customFormat="1" ht="42" customHeight="1">
      <c r="A8" s="2">
        <v>6</v>
      </c>
      <c r="B8" s="12">
        <v>2544640019</v>
      </c>
      <c r="C8" s="21">
        <v>250371613010</v>
      </c>
      <c r="D8" s="22" t="s">
        <v>1251</v>
      </c>
      <c r="E8" s="12" t="s">
        <v>28</v>
      </c>
      <c r="F8" s="14" t="s">
        <v>15</v>
      </c>
      <c r="G8" s="19" t="s">
        <v>34</v>
      </c>
      <c r="H8" s="20" t="s">
        <v>3</v>
      </c>
      <c r="I8" s="20" t="s">
        <v>2</v>
      </c>
      <c r="J8" s="20" t="s">
        <v>3</v>
      </c>
      <c r="K8" s="20" t="s">
        <v>4</v>
      </c>
      <c r="L8" s="20" t="s">
        <v>2</v>
      </c>
      <c r="M8" s="20" t="s">
        <v>8</v>
      </c>
      <c r="N8" s="20" t="s">
        <v>8</v>
      </c>
      <c r="O8" s="11" t="s">
        <v>17</v>
      </c>
      <c r="P8" s="4">
        <v>8.3888888888888893</v>
      </c>
    </row>
    <row r="9" spans="1:16" s="5" customFormat="1" ht="42" customHeight="1">
      <c r="A9" s="2">
        <v>7</v>
      </c>
      <c r="B9" s="12">
        <v>2544640936</v>
      </c>
      <c r="C9" s="21">
        <v>250371613012</v>
      </c>
      <c r="D9" s="22" t="s">
        <v>1252</v>
      </c>
      <c r="E9" s="12" t="s">
        <v>28</v>
      </c>
      <c r="F9" s="14" t="s">
        <v>15</v>
      </c>
      <c r="G9" s="19" t="s">
        <v>34</v>
      </c>
      <c r="H9" s="20" t="s">
        <v>3</v>
      </c>
      <c r="I9" s="20" t="s">
        <v>7</v>
      </c>
      <c r="J9" s="20" t="s">
        <v>2</v>
      </c>
      <c r="K9" s="20" t="s">
        <v>3</v>
      </c>
      <c r="L9" s="20" t="s">
        <v>2</v>
      </c>
      <c r="M9" s="20" t="s">
        <v>2</v>
      </c>
      <c r="N9" s="20" t="s">
        <v>8</v>
      </c>
      <c r="O9" s="11" t="s">
        <v>7</v>
      </c>
      <c r="P9" s="4">
        <v>0</v>
      </c>
    </row>
    <row r="10" spans="1:16" s="5" customFormat="1" ht="42" customHeight="1">
      <c r="A10" s="2">
        <v>8</v>
      </c>
      <c r="B10" s="12">
        <v>2544640909</v>
      </c>
      <c r="C10" s="21">
        <v>250371613013</v>
      </c>
      <c r="D10" s="22" t="s">
        <v>1253</v>
      </c>
      <c r="E10" s="12" t="s">
        <v>28</v>
      </c>
      <c r="F10" s="14" t="s">
        <v>15</v>
      </c>
      <c r="G10" s="19" t="s">
        <v>34</v>
      </c>
      <c r="H10" s="20" t="s">
        <v>3</v>
      </c>
      <c r="I10" s="20" t="s">
        <v>5</v>
      </c>
      <c r="J10" s="20" t="s">
        <v>4</v>
      </c>
      <c r="K10" s="20" t="s">
        <v>4</v>
      </c>
      <c r="L10" s="20" t="s">
        <v>3</v>
      </c>
      <c r="M10" s="20" t="s">
        <v>3</v>
      </c>
      <c r="N10" s="20" t="s">
        <v>2</v>
      </c>
      <c r="O10" s="11" t="s">
        <v>17</v>
      </c>
      <c r="P10" s="4">
        <v>7.333333333333333</v>
      </c>
    </row>
    <row r="11" spans="1:16" s="5" customFormat="1" ht="42" customHeight="1">
      <c r="A11" s="2">
        <v>9</v>
      </c>
      <c r="B11" s="12">
        <v>2544640963</v>
      </c>
      <c r="C11" s="21">
        <v>250371613014</v>
      </c>
      <c r="D11" s="22" t="s">
        <v>1254</v>
      </c>
      <c r="E11" s="12" t="s">
        <v>28</v>
      </c>
      <c r="F11" s="14" t="s">
        <v>15</v>
      </c>
      <c r="G11" s="19" t="s">
        <v>34</v>
      </c>
      <c r="H11" s="20" t="s">
        <v>2</v>
      </c>
      <c r="I11" s="20" t="s">
        <v>2</v>
      </c>
      <c r="J11" s="20" t="s">
        <v>2</v>
      </c>
      <c r="K11" s="20" t="s">
        <v>3</v>
      </c>
      <c r="L11" s="20" t="s">
        <v>2</v>
      </c>
      <c r="M11" s="20" t="s">
        <v>8</v>
      </c>
      <c r="N11" s="20" t="s">
        <v>2</v>
      </c>
      <c r="O11" s="11" t="s">
        <v>17</v>
      </c>
      <c r="P11" s="4">
        <v>8.8888888888888893</v>
      </c>
    </row>
    <row r="12" spans="1:16" s="5" customFormat="1" ht="42" customHeight="1">
      <c r="A12" s="2">
        <v>10</v>
      </c>
      <c r="B12" s="12">
        <v>2544641097</v>
      </c>
      <c r="C12" s="21">
        <v>250371613015</v>
      </c>
      <c r="D12" s="22" t="s">
        <v>1255</v>
      </c>
      <c r="E12" s="12" t="s">
        <v>28</v>
      </c>
      <c r="F12" s="14" t="s">
        <v>15</v>
      </c>
      <c r="G12" s="19" t="s">
        <v>34</v>
      </c>
      <c r="H12" s="20" t="s">
        <v>3</v>
      </c>
      <c r="I12" s="20" t="s">
        <v>2</v>
      </c>
      <c r="J12" s="20" t="s">
        <v>2</v>
      </c>
      <c r="K12" s="20" t="s">
        <v>2</v>
      </c>
      <c r="L12" s="20" t="s">
        <v>8</v>
      </c>
      <c r="M12" s="20" t="s">
        <v>8</v>
      </c>
      <c r="N12" s="20" t="s">
        <v>8</v>
      </c>
      <c r="O12" s="11" t="s">
        <v>17</v>
      </c>
      <c r="P12" s="4">
        <v>9.1111111111111107</v>
      </c>
    </row>
    <row r="13" spans="1:16" s="5" customFormat="1" ht="42" customHeight="1">
      <c r="A13" s="2">
        <v>11</v>
      </c>
      <c r="B13" s="12">
        <v>2544640210</v>
      </c>
      <c r="C13" s="21">
        <v>250371613016</v>
      </c>
      <c r="D13" s="22" t="s">
        <v>1256</v>
      </c>
      <c r="E13" s="12" t="s">
        <v>28</v>
      </c>
      <c r="F13" s="14" t="s">
        <v>15</v>
      </c>
      <c r="G13" s="19" t="s">
        <v>34</v>
      </c>
      <c r="H13" s="20" t="s">
        <v>3</v>
      </c>
      <c r="I13" s="20" t="s">
        <v>3</v>
      </c>
      <c r="J13" s="20" t="s">
        <v>2</v>
      </c>
      <c r="K13" s="20" t="s">
        <v>3</v>
      </c>
      <c r="L13" s="20" t="s">
        <v>8</v>
      </c>
      <c r="M13" s="20" t="s">
        <v>3</v>
      </c>
      <c r="N13" s="20" t="s">
        <v>8</v>
      </c>
      <c r="O13" s="11" t="s">
        <v>17</v>
      </c>
      <c r="P13" s="4">
        <v>8.6666666666666661</v>
      </c>
    </row>
    <row r="14" spans="1:16" s="5" customFormat="1" ht="42" customHeight="1">
      <c r="A14" s="2">
        <v>12</v>
      </c>
      <c r="B14" s="12">
        <v>2544640997</v>
      </c>
      <c r="C14" s="21">
        <v>250371613018</v>
      </c>
      <c r="D14" s="22" t="s">
        <v>1257</v>
      </c>
      <c r="E14" s="12" t="s">
        <v>28</v>
      </c>
      <c r="F14" s="14" t="s">
        <v>15</v>
      </c>
      <c r="G14" s="19" t="s">
        <v>34</v>
      </c>
      <c r="H14" s="20" t="s">
        <v>4</v>
      </c>
      <c r="I14" s="20" t="s">
        <v>4</v>
      </c>
      <c r="J14" s="20" t="s">
        <v>3</v>
      </c>
      <c r="K14" s="20" t="s">
        <v>3</v>
      </c>
      <c r="L14" s="20" t="s">
        <v>3</v>
      </c>
      <c r="M14" s="20" t="s">
        <v>2</v>
      </c>
      <c r="N14" s="20" t="s">
        <v>2</v>
      </c>
      <c r="O14" s="11" t="s">
        <v>17</v>
      </c>
      <c r="P14" s="4">
        <v>7.7777777777777777</v>
      </c>
    </row>
    <row r="15" spans="1:16" s="5" customFormat="1" ht="42" customHeight="1">
      <c r="A15" s="2">
        <v>13</v>
      </c>
      <c r="B15" s="12">
        <v>2544640920</v>
      </c>
      <c r="C15" s="21">
        <v>250371613019</v>
      </c>
      <c r="D15" s="22" t="s">
        <v>1258</v>
      </c>
      <c r="E15" s="12" t="s">
        <v>28</v>
      </c>
      <c r="F15" s="14" t="s">
        <v>15</v>
      </c>
      <c r="G15" s="19" t="s">
        <v>34</v>
      </c>
      <c r="H15" s="20" t="s">
        <v>11</v>
      </c>
      <c r="I15" s="20" t="s">
        <v>11</v>
      </c>
      <c r="J15" s="20" t="s">
        <v>4</v>
      </c>
      <c r="K15" s="20" t="s">
        <v>3</v>
      </c>
      <c r="L15" s="20" t="s">
        <v>4</v>
      </c>
      <c r="M15" s="20" t="s">
        <v>3</v>
      </c>
      <c r="N15" s="20" t="s">
        <v>2</v>
      </c>
      <c r="O15" s="11" t="s">
        <v>17</v>
      </c>
      <c r="P15" s="4">
        <v>6.333333333333333</v>
      </c>
    </row>
    <row r="16" spans="1:16" s="5" customFormat="1" ht="42" customHeight="1">
      <c r="A16" s="2">
        <v>14</v>
      </c>
      <c r="B16" s="12">
        <v>2544640857</v>
      </c>
      <c r="C16" s="21">
        <v>250371613021</v>
      </c>
      <c r="D16" s="22" t="s">
        <v>1259</v>
      </c>
      <c r="E16" s="12" t="s">
        <v>28</v>
      </c>
      <c r="F16" s="14" t="s">
        <v>15</v>
      </c>
      <c r="G16" s="19" t="s">
        <v>34</v>
      </c>
      <c r="H16" s="20" t="s">
        <v>6</v>
      </c>
      <c r="I16" s="20" t="s">
        <v>2</v>
      </c>
      <c r="J16" s="20" t="s">
        <v>4</v>
      </c>
      <c r="K16" s="20" t="s">
        <v>5</v>
      </c>
      <c r="L16" s="20" t="s">
        <v>3</v>
      </c>
      <c r="M16" s="20" t="s">
        <v>2</v>
      </c>
      <c r="N16" s="20" t="s">
        <v>2</v>
      </c>
      <c r="O16" s="11" t="s">
        <v>17</v>
      </c>
      <c r="P16" s="4">
        <v>7.2222222222222223</v>
      </c>
    </row>
    <row r="17" spans="1:16" s="5" customFormat="1" ht="42" customHeight="1">
      <c r="A17" s="2">
        <v>15</v>
      </c>
      <c r="B17" s="12">
        <v>2544641025</v>
      </c>
      <c r="C17" s="21">
        <v>250371613022</v>
      </c>
      <c r="D17" s="22" t="s">
        <v>1260</v>
      </c>
      <c r="E17" s="12" t="s">
        <v>28</v>
      </c>
      <c r="F17" s="14" t="s">
        <v>15</v>
      </c>
      <c r="G17" s="19" t="s">
        <v>34</v>
      </c>
      <c r="H17" s="20" t="s">
        <v>2</v>
      </c>
      <c r="I17" s="20" t="s">
        <v>8</v>
      </c>
      <c r="J17" s="20" t="s">
        <v>2</v>
      </c>
      <c r="K17" s="20" t="s">
        <v>2</v>
      </c>
      <c r="L17" s="20" t="s">
        <v>8</v>
      </c>
      <c r="M17" s="20" t="s">
        <v>8</v>
      </c>
      <c r="N17" s="20" t="s">
        <v>2</v>
      </c>
      <c r="O17" s="11" t="s">
        <v>17</v>
      </c>
      <c r="P17" s="4">
        <v>9.3888888888888893</v>
      </c>
    </row>
    <row r="18" spans="1:16" s="5" customFormat="1" ht="42" customHeight="1">
      <c r="A18" s="2">
        <v>16</v>
      </c>
      <c r="B18" s="12">
        <v>2544640957</v>
      </c>
      <c r="C18" s="21">
        <v>250371613023</v>
      </c>
      <c r="D18" s="22" t="s">
        <v>1261</v>
      </c>
      <c r="E18" s="12" t="s">
        <v>28</v>
      </c>
      <c r="F18" s="14" t="s">
        <v>15</v>
      </c>
      <c r="G18" s="19" t="s">
        <v>34</v>
      </c>
      <c r="H18" s="20" t="s">
        <v>5</v>
      </c>
      <c r="I18" s="20" t="s">
        <v>2</v>
      </c>
      <c r="J18" s="20" t="s">
        <v>4</v>
      </c>
      <c r="K18" s="20" t="s">
        <v>4</v>
      </c>
      <c r="L18" s="20" t="s">
        <v>4</v>
      </c>
      <c r="M18" s="20" t="s">
        <v>3</v>
      </c>
      <c r="N18" s="20" t="s">
        <v>2</v>
      </c>
      <c r="O18" s="11" t="s">
        <v>17</v>
      </c>
      <c r="P18" s="4">
        <v>7.333333333333333</v>
      </c>
    </row>
    <row r="19" spans="1:16" s="5" customFormat="1" ht="42" customHeight="1">
      <c r="A19" s="2">
        <v>17</v>
      </c>
      <c r="B19" s="12">
        <v>2544640974</v>
      </c>
      <c r="C19" s="21">
        <v>250371613024</v>
      </c>
      <c r="D19" s="22" t="s">
        <v>1262</v>
      </c>
      <c r="E19" s="12" t="s">
        <v>28</v>
      </c>
      <c r="F19" s="14" t="s">
        <v>15</v>
      </c>
      <c r="G19" s="19" t="s">
        <v>34</v>
      </c>
      <c r="H19" s="20" t="s">
        <v>5</v>
      </c>
      <c r="I19" s="20" t="s">
        <v>3</v>
      </c>
      <c r="J19" s="20" t="s">
        <v>4</v>
      </c>
      <c r="K19" s="20" t="s">
        <v>4</v>
      </c>
      <c r="L19" s="20" t="s">
        <v>3</v>
      </c>
      <c r="M19" s="20" t="s">
        <v>2</v>
      </c>
      <c r="N19" s="20" t="s">
        <v>2</v>
      </c>
      <c r="O19" s="11" t="s">
        <v>17</v>
      </c>
      <c r="P19" s="4">
        <v>7.3888888888888893</v>
      </c>
    </row>
    <row r="20" spans="1:16" s="5" customFormat="1" ht="42" customHeight="1">
      <c r="A20" s="2">
        <v>18</v>
      </c>
      <c r="B20" s="12">
        <v>2544641074</v>
      </c>
      <c r="C20" s="21">
        <v>250371613025</v>
      </c>
      <c r="D20" s="22" t="s">
        <v>1263</v>
      </c>
      <c r="E20" s="12" t="s">
        <v>28</v>
      </c>
      <c r="F20" s="14" t="s">
        <v>15</v>
      </c>
      <c r="G20" s="19" t="s">
        <v>34</v>
      </c>
      <c r="H20" s="20" t="s">
        <v>3</v>
      </c>
      <c r="I20" s="20" t="s">
        <v>8</v>
      </c>
      <c r="J20" s="20" t="s">
        <v>3</v>
      </c>
      <c r="K20" s="20" t="s">
        <v>3</v>
      </c>
      <c r="L20" s="20" t="s">
        <v>8</v>
      </c>
      <c r="M20" s="20" t="s">
        <v>2</v>
      </c>
      <c r="N20" s="20" t="s">
        <v>2</v>
      </c>
      <c r="O20" s="11" t="s">
        <v>17</v>
      </c>
      <c r="P20" s="4">
        <v>8.7777777777777786</v>
      </c>
    </row>
    <row r="21" spans="1:16" s="5" customFormat="1" ht="42" customHeight="1">
      <c r="A21" s="2">
        <v>19</v>
      </c>
      <c r="B21" s="12">
        <v>2544640479</v>
      </c>
      <c r="C21" s="21">
        <v>250371613026</v>
      </c>
      <c r="D21" s="22" t="s">
        <v>1264</v>
      </c>
      <c r="E21" s="12" t="s">
        <v>28</v>
      </c>
      <c r="F21" s="14" t="s">
        <v>15</v>
      </c>
      <c r="G21" s="19" t="s">
        <v>34</v>
      </c>
      <c r="H21" s="20" t="s">
        <v>2</v>
      </c>
      <c r="I21" s="20" t="s">
        <v>8</v>
      </c>
      <c r="J21" s="20" t="s">
        <v>2</v>
      </c>
      <c r="K21" s="20" t="s">
        <v>3</v>
      </c>
      <c r="L21" s="20" t="s">
        <v>8</v>
      </c>
      <c r="M21" s="20" t="s">
        <v>2</v>
      </c>
      <c r="N21" s="20" t="s">
        <v>2</v>
      </c>
      <c r="O21" s="11" t="s">
        <v>17</v>
      </c>
      <c r="P21" s="4">
        <v>9.1666666666666661</v>
      </c>
    </row>
    <row r="22" spans="1:16" s="5" customFormat="1" ht="42" customHeight="1">
      <c r="A22" s="2">
        <v>20</v>
      </c>
      <c r="B22" s="12">
        <v>2544640805</v>
      </c>
      <c r="C22" s="21">
        <v>250371613027</v>
      </c>
      <c r="D22" s="22" t="s">
        <v>1265</v>
      </c>
      <c r="E22" s="12" t="s">
        <v>28</v>
      </c>
      <c r="F22" s="14" t="s">
        <v>15</v>
      </c>
      <c r="G22" s="19" t="s">
        <v>34</v>
      </c>
      <c r="H22" s="20" t="s">
        <v>3</v>
      </c>
      <c r="I22" s="20" t="s">
        <v>2</v>
      </c>
      <c r="J22" s="20" t="s">
        <v>3</v>
      </c>
      <c r="K22" s="20" t="s">
        <v>4</v>
      </c>
      <c r="L22" s="20" t="s">
        <v>3</v>
      </c>
      <c r="M22" s="20" t="s">
        <v>2</v>
      </c>
      <c r="N22" s="20" t="s">
        <v>8</v>
      </c>
      <c r="O22" s="11" t="s">
        <v>17</v>
      </c>
      <c r="P22" s="4">
        <v>8.1666666666666661</v>
      </c>
    </row>
    <row r="23" spans="1:16" s="5" customFormat="1" ht="42" customHeight="1">
      <c r="A23" s="2">
        <v>21</v>
      </c>
      <c r="B23" s="12">
        <v>2544640956</v>
      </c>
      <c r="C23" s="21">
        <v>250371613028</v>
      </c>
      <c r="D23" s="22" t="s">
        <v>1266</v>
      </c>
      <c r="E23" s="12" t="s">
        <v>28</v>
      </c>
      <c r="F23" s="14" t="s">
        <v>15</v>
      </c>
      <c r="G23" s="19" t="s">
        <v>34</v>
      </c>
      <c r="H23" s="20" t="s">
        <v>3</v>
      </c>
      <c r="I23" s="20" t="s">
        <v>8</v>
      </c>
      <c r="J23" s="20" t="s">
        <v>2</v>
      </c>
      <c r="K23" s="20" t="s">
        <v>4</v>
      </c>
      <c r="L23" s="20" t="s">
        <v>3</v>
      </c>
      <c r="M23" s="20" t="s">
        <v>4</v>
      </c>
      <c r="N23" s="20" t="s">
        <v>2</v>
      </c>
      <c r="O23" s="11" t="s">
        <v>17</v>
      </c>
      <c r="P23" s="4">
        <v>8.3888888888888893</v>
      </c>
    </row>
    <row r="24" spans="1:16" s="5" customFormat="1" ht="42" customHeight="1">
      <c r="A24" s="2">
        <v>22</v>
      </c>
      <c r="B24" s="12">
        <v>2544640359</v>
      </c>
      <c r="C24" s="21">
        <v>250371613029</v>
      </c>
      <c r="D24" s="22" t="s">
        <v>1267</v>
      </c>
      <c r="E24" s="12" t="s">
        <v>28</v>
      </c>
      <c r="F24" s="14" t="s">
        <v>15</v>
      </c>
      <c r="G24" s="19" t="s">
        <v>34</v>
      </c>
      <c r="H24" s="20" t="s">
        <v>2</v>
      </c>
      <c r="I24" s="20" t="s">
        <v>8</v>
      </c>
      <c r="J24" s="20" t="s">
        <v>8</v>
      </c>
      <c r="K24" s="20" t="s">
        <v>3</v>
      </c>
      <c r="L24" s="20" t="s">
        <v>8</v>
      </c>
      <c r="M24" s="20" t="s">
        <v>8</v>
      </c>
      <c r="N24" s="20" t="s">
        <v>8</v>
      </c>
      <c r="O24" s="11" t="s">
        <v>17</v>
      </c>
      <c r="P24" s="4">
        <v>9.5</v>
      </c>
    </row>
    <row r="25" spans="1:16" s="5" customFormat="1" ht="42" customHeight="1">
      <c r="A25" s="2">
        <v>23</v>
      </c>
      <c r="B25" s="12">
        <v>2544640208</v>
      </c>
      <c r="C25" s="21">
        <v>250371613032</v>
      </c>
      <c r="D25" s="22" t="s">
        <v>1268</v>
      </c>
      <c r="E25" s="12" t="s">
        <v>28</v>
      </c>
      <c r="F25" s="14" t="s">
        <v>15</v>
      </c>
      <c r="G25" s="19" t="s">
        <v>34</v>
      </c>
      <c r="H25" s="20" t="s">
        <v>2</v>
      </c>
      <c r="I25" s="20" t="s">
        <v>2</v>
      </c>
      <c r="J25" s="20" t="s">
        <v>2</v>
      </c>
      <c r="K25" s="20" t="s">
        <v>2</v>
      </c>
      <c r="L25" s="20" t="s">
        <v>8</v>
      </c>
      <c r="M25" s="20" t="s">
        <v>3</v>
      </c>
      <c r="N25" s="20" t="s">
        <v>2</v>
      </c>
      <c r="O25" s="11" t="s">
        <v>17</v>
      </c>
      <c r="P25" s="4">
        <v>9.1111111111111107</v>
      </c>
    </row>
    <row r="26" spans="1:16" s="5" customFormat="1" ht="42" customHeight="1">
      <c r="A26" s="2">
        <v>24</v>
      </c>
      <c r="B26" s="12">
        <v>2544640986</v>
      </c>
      <c r="C26" s="21">
        <v>250371613036</v>
      </c>
      <c r="D26" s="22" t="s">
        <v>1269</v>
      </c>
      <c r="E26" s="12" t="s">
        <v>28</v>
      </c>
      <c r="F26" s="14" t="s">
        <v>15</v>
      </c>
      <c r="G26" s="19" t="s">
        <v>34</v>
      </c>
      <c r="H26" s="20" t="s">
        <v>3</v>
      </c>
      <c r="I26" s="20" t="s">
        <v>3</v>
      </c>
      <c r="J26" s="20" t="s">
        <v>4</v>
      </c>
      <c r="K26" s="20" t="s">
        <v>5</v>
      </c>
      <c r="L26" s="20" t="s">
        <v>4</v>
      </c>
      <c r="M26" s="20" t="s">
        <v>2</v>
      </c>
      <c r="N26" s="20" t="s">
        <v>2</v>
      </c>
      <c r="O26" s="11" t="s">
        <v>17</v>
      </c>
      <c r="P26" s="4">
        <v>7.3888888888888893</v>
      </c>
    </row>
    <row r="27" spans="1:16" s="5" customFormat="1" ht="42" customHeight="1">
      <c r="A27" s="2">
        <v>25</v>
      </c>
      <c r="B27" s="12">
        <v>2544640995</v>
      </c>
      <c r="C27" s="21">
        <v>250371613038</v>
      </c>
      <c r="D27" s="22" t="s">
        <v>1270</v>
      </c>
      <c r="E27" s="12" t="s">
        <v>28</v>
      </c>
      <c r="F27" s="14" t="s">
        <v>15</v>
      </c>
      <c r="G27" s="19" t="s">
        <v>34</v>
      </c>
      <c r="H27" s="20" t="s">
        <v>3</v>
      </c>
      <c r="I27" s="20" t="s">
        <v>8</v>
      </c>
      <c r="J27" s="20" t="s">
        <v>2</v>
      </c>
      <c r="K27" s="20" t="s">
        <v>2</v>
      </c>
      <c r="L27" s="20" t="s">
        <v>8</v>
      </c>
      <c r="M27" s="20" t="s">
        <v>8</v>
      </c>
      <c r="N27" s="20" t="s">
        <v>8</v>
      </c>
      <c r="O27" s="11" t="s">
        <v>17</v>
      </c>
      <c r="P27" s="4">
        <v>9.2777777777777786</v>
      </c>
    </row>
    <row r="28" spans="1:16" s="5" customFormat="1" ht="42" customHeight="1">
      <c r="A28" s="2">
        <v>26</v>
      </c>
      <c r="B28" s="12">
        <v>2544641075</v>
      </c>
      <c r="C28" s="21">
        <v>250371613039</v>
      </c>
      <c r="D28" s="22" t="s">
        <v>1271</v>
      </c>
      <c r="E28" s="12" t="s">
        <v>28</v>
      </c>
      <c r="F28" s="14" t="s">
        <v>15</v>
      </c>
      <c r="G28" s="19" t="s">
        <v>34</v>
      </c>
      <c r="H28" s="20" t="s">
        <v>4</v>
      </c>
      <c r="I28" s="20" t="s">
        <v>8</v>
      </c>
      <c r="J28" s="20" t="s">
        <v>2</v>
      </c>
      <c r="K28" s="20" t="s">
        <v>3</v>
      </c>
      <c r="L28" s="20" t="s">
        <v>8</v>
      </c>
      <c r="M28" s="20" t="s">
        <v>8</v>
      </c>
      <c r="N28" s="20" t="s">
        <v>2</v>
      </c>
      <c r="O28" s="11" t="s">
        <v>17</v>
      </c>
      <c r="P28" s="4">
        <v>8.8888888888888893</v>
      </c>
    </row>
    <row r="29" spans="1:16" s="5" customFormat="1" ht="42" customHeight="1">
      <c r="A29" s="2">
        <v>27</v>
      </c>
      <c r="B29" s="12">
        <v>2544640711</v>
      </c>
      <c r="C29" s="21">
        <v>250371613040</v>
      </c>
      <c r="D29" s="22" t="s">
        <v>1272</v>
      </c>
      <c r="E29" s="12" t="s">
        <v>28</v>
      </c>
      <c r="F29" s="14" t="s">
        <v>15</v>
      </c>
      <c r="G29" s="19" t="s">
        <v>34</v>
      </c>
      <c r="H29" s="20" t="s">
        <v>4</v>
      </c>
      <c r="I29" s="20" t="s">
        <v>2</v>
      </c>
      <c r="J29" s="20" t="s">
        <v>2</v>
      </c>
      <c r="K29" s="20" t="s">
        <v>3</v>
      </c>
      <c r="L29" s="20" t="s">
        <v>2</v>
      </c>
      <c r="M29" s="20" t="s">
        <v>2</v>
      </c>
      <c r="N29" s="20" t="s">
        <v>2</v>
      </c>
      <c r="O29" s="11" t="s">
        <v>17</v>
      </c>
      <c r="P29" s="4">
        <v>8.5</v>
      </c>
    </row>
    <row r="30" spans="1:16" s="5" customFormat="1" ht="42" customHeight="1">
      <c r="A30" s="2">
        <v>28</v>
      </c>
      <c r="B30" s="12">
        <v>2544640484</v>
      </c>
      <c r="C30" s="21">
        <v>250371613041</v>
      </c>
      <c r="D30" s="22" t="s">
        <v>1273</v>
      </c>
      <c r="E30" s="12" t="s">
        <v>28</v>
      </c>
      <c r="F30" s="14" t="s">
        <v>15</v>
      </c>
      <c r="G30" s="19" t="s">
        <v>34</v>
      </c>
      <c r="H30" s="20" t="s">
        <v>3</v>
      </c>
      <c r="I30" s="20" t="s">
        <v>8</v>
      </c>
      <c r="J30" s="20" t="s">
        <v>2</v>
      </c>
      <c r="K30" s="20" t="s">
        <v>2</v>
      </c>
      <c r="L30" s="20" t="s">
        <v>2</v>
      </c>
      <c r="M30" s="20" t="s">
        <v>8</v>
      </c>
      <c r="N30" s="20" t="s">
        <v>8</v>
      </c>
      <c r="O30" s="11" t="s">
        <v>17</v>
      </c>
      <c r="P30" s="4">
        <v>9.1111111111111107</v>
      </c>
    </row>
    <row r="31" spans="1:16" s="5" customFormat="1" ht="42" customHeight="1">
      <c r="A31" s="2">
        <v>29</v>
      </c>
      <c r="B31" s="12">
        <v>2544640438</v>
      </c>
      <c r="C31" s="21">
        <v>250371613043</v>
      </c>
      <c r="D31" s="22" t="s">
        <v>1274</v>
      </c>
      <c r="E31" s="12" t="s">
        <v>28</v>
      </c>
      <c r="F31" s="14" t="s">
        <v>15</v>
      </c>
      <c r="G31" s="19" t="s">
        <v>34</v>
      </c>
      <c r="H31" s="20" t="s">
        <v>5</v>
      </c>
      <c r="I31" s="20" t="s">
        <v>4</v>
      </c>
      <c r="J31" s="20" t="s">
        <v>4</v>
      </c>
      <c r="K31" s="20" t="s">
        <v>4</v>
      </c>
      <c r="L31" s="20" t="s">
        <v>3</v>
      </c>
      <c r="M31" s="20" t="s">
        <v>2</v>
      </c>
      <c r="N31" s="20" t="s">
        <v>8</v>
      </c>
      <c r="O31" s="11" t="s">
        <v>17</v>
      </c>
      <c r="P31" s="4">
        <v>7.2777777777777777</v>
      </c>
    </row>
    <row r="32" spans="1:16" s="5" customFormat="1" ht="42" customHeight="1">
      <c r="A32" s="2">
        <v>30</v>
      </c>
      <c r="B32" s="12">
        <v>2544640161</v>
      </c>
      <c r="C32" s="21">
        <v>250371613047</v>
      </c>
      <c r="D32" s="22" t="s">
        <v>1275</v>
      </c>
      <c r="E32" s="12" t="s">
        <v>28</v>
      </c>
      <c r="F32" s="14" t="s">
        <v>15</v>
      </c>
      <c r="G32" s="19" t="s">
        <v>34</v>
      </c>
      <c r="H32" s="20" t="s">
        <v>5</v>
      </c>
      <c r="I32" s="20" t="s">
        <v>11</v>
      </c>
      <c r="J32" s="20" t="s">
        <v>6</v>
      </c>
      <c r="K32" s="20" t="s">
        <v>4</v>
      </c>
      <c r="L32" s="20" t="s">
        <v>3</v>
      </c>
      <c r="M32" s="20" t="s">
        <v>6</v>
      </c>
      <c r="N32" s="20" t="s">
        <v>2</v>
      </c>
      <c r="O32" s="11" t="s">
        <v>17</v>
      </c>
      <c r="P32" s="4">
        <v>6.0555555555555554</v>
      </c>
    </row>
    <row r="33" spans="1:16" s="5" customFormat="1" ht="42" customHeight="1">
      <c r="A33" s="2">
        <v>31</v>
      </c>
      <c r="B33" s="12">
        <v>2544640933</v>
      </c>
      <c r="C33" s="21">
        <v>250371613049</v>
      </c>
      <c r="D33" s="22" t="s">
        <v>1276</v>
      </c>
      <c r="E33" s="12" t="s">
        <v>28</v>
      </c>
      <c r="F33" s="14" t="s">
        <v>15</v>
      </c>
      <c r="G33" s="19" t="s">
        <v>34</v>
      </c>
      <c r="H33" s="20" t="s">
        <v>2</v>
      </c>
      <c r="I33" s="20" t="s">
        <v>2</v>
      </c>
      <c r="J33" s="20" t="s">
        <v>4</v>
      </c>
      <c r="K33" s="20" t="s">
        <v>2</v>
      </c>
      <c r="L33" s="20" t="s">
        <v>8</v>
      </c>
      <c r="M33" s="20" t="s">
        <v>8</v>
      </c>
      <c r="N33" s="20" t="s">
        <v>8</v>
      </c>
      <c r="O33" s="11" t="s">
        <v>17</v>
      </c>
      <c r="P33" s="4">
        <v>8.8333333333333339</v>
      </c>
    </row>
    <row r="34" spans="1:16" s="5" customFormat="1" ht="42" customHeight="1">
      <c r="A34" s="2">
        <v>32</v>
      </c>
      <c r="B34" s="12">
        <v>2544640745</v>
      </c>
      <c r="C34" s="21">
        <v>250371613050</v>
      </c>
      <c r="D34" s="22" t="s">
        <v>1277</v>
      </c>
      <c r="E34" s="12" t="s">
        <v>28</v>
      </c>
      <c r="F34" s="14" t="s">
        <v>15</v>
      </c>
      <c r="G34" s="19" t="s">
        <v>34</v>
      </c>
      <c r="H34" s="20" t="s">
        <v>4</v>
      </c>
      <c r="I34" s="20" t="s">
        <v>2</v>
      </c>
      <c r="J34" s="20" t="s">
        <v>5</v>
      </c>
      <c r="K34" s="20" t="s">
        <v>3</v>
      </c>
      <c r="L34" s="20" t="s">
        <v>3</v>
      </c>
      <c r="M34" s="20" t="s">
        <v>3</v>
      </c>
      <c r="N34" s="20" t="s">
        <v>2</v>
      </c>
      <c r="O34" s="11" t="s">
        <v>17</v>
      </c>
      <c r="P34" s="4">
        <v>7.6111111111111107</v>
      </c>
    </row>
    <row r="35" spans="1:16" s="5" customFormat="1" ht="42" customHeight="1">
      <c r="A35" s="2">
        <v>33</v>
      </c>
      <c r="B35" s="12">
        <v>2544640996</v>
      </c>
      <c r="C35" s="21">
        <v>250371613057</v>
      </c>
      <c r="D35" s="22" t="s">
        <v>1278</v>
      </c>
      <c r="E35" s="12" t="s">
        <v>28</v>
      </c>
      <c r="F35" s="14" t="s">
        <v>15</v>
      </c>
      <c r="G35" s="19" t="s">
        <v>34</v>
      </c>
      <c r="H35" s="20" t="s">
        <v>3</v>
      </c>
      <c r="I35" s="20" t="s">
        <v>2</v>
      </c>
      <c r="J35" s="20" t="s">
        <v>4</v>
      </c>
      <c r="K35" s="20" t="s">
        <v>2</v>
      </c>
      <c r="L35" s="20" t="s">
        <v>2</v>
      </c>
      <c r="M35" s="20" t="s">
        <v>2</v>
      </c>
      <c r="N35" s="20" t="s">
        <v>2</v>
      </c>
      <c r="O35" s="11" t="s">
        <v>17</v>
      </c>
      <c r="P35" s="4">
        <v>8.3888888888888893</v>
      </c>
    </row>
    <row r="36" spans="1:16" s="5" customFormat="1" ht="42" customHeight="1">
      <c r="A36" s="2">
        <v>34</v>
      </c>
      <c r="B36" s="12">
        <v>2544640570</v>
      </c>
      <c r="C36" s="21">
        <v>250371613058</v>
      </c>
      <c r="D36" s="22" t="s">
        <v>1279</v>
      </c>
      <c r="E36" s="12" t="s">
        <v>28</v>
      </c>
      <c r="F36" s="14" t="s">
        <v>15</v>
      </c>
      <c r="G36" s="19" t="s">
        <v>34</v>
      </c>
      <c r="H36" s="20" t="s">
        <v>2</v>
      </c>
      <c r="I36" s="20" t="s">
        <v>8</v>
      </c>
      <c r="J36" s="20" t="s">
        <v>8</v>
      </c>
      <c r="K36" s="20" t="s">
        <v>2</v>
      </c>
      <c r="L36" s="20" t="s">
        <v>8</v>
      </c>
      <c r="M36" s="20" t="s">
        <v>3</v>
      </c>
      <c r="N36" s="20" t="s">
        <v>8</v>
      </c>
      <c r="O36" s="11" t="s">
        <v>17</v>
      </c>
      <c r="P36" s="4">
        <v>9.5555555555555554</v>
      </c>
    </row>
    <row r="37" spans="1:16" s="5" customFormat="1" ht="42" customHeight="1">
      <c r="A37" s="2">
        <v>35</v>
      </c>
      <c r="B37" s="12">
        <v>2544640934</v>
      </c>
      <c r="C37" s="21">
        <v>250371613060</v>
      </c>
      <c r="D37" s="22" t="s">
        <v>1280</v>
      </c>
      <c r="E37" s="12" t="s">
        <v>28</v>
      </c>
      <c r="F37" s="14" t="s">
        <v>15</v>
      </c>
      <c r="G37" s="19" t="s">
        <v>34</v>
      </c>
      <c r="H37" s="20" t="s">
        <v>3</v>
      </c>
      <c r="I37" s="20" t="s">
        <v>8</v>
      </c>
      <c r="J37" s="20" t="s">
        <v>3</v>
      </c>
      <c r="K37" s="20" t="s">
        <v>8</v>
      </c>
      <c r="L37" s="20" t="s">
        <v>8</v>
      </c>
      <c r="M37" s="20" t="s">
        <v>8</v>
      </c>
      <c r="N37" s="20" t="s">
        <v>8</v>
      </c>
      <c r="O37" s="11" t="s">
        <v>17</v>
      </c>
      <c r="P37" s="4">
        <v>9.2222222222222214</v>
      </c>
    </row>
    <row r="38" spans="1:16" s="5" customFormat="1" ht="42" customHeight="1">
      <c r="A38" s="2">
        <v>36</v>
      </c>
      <c r="B38" s="12">
        <v>2544640459</v>
      </c>
      <c r="C38" s="21">
        <v>250371613061</v>
      </c>
      <c r="D38" s="22" t="s">
        <v>1281</v>
      </c>
      <c r="E38" s="12" t="s">
        <v>28</v>
      </c>
      <c r="F38" s="14" t="s">
        <v>15</v>
      </c>
      <c r="G38" s="19" t="s">
        <v>34</v>
      </c>
      <c r="H38" s="20" t="s">
        <v>3</v>
      </c>
      <c r="I38" s="20" t="s">
        <v>2</v>
      </c>
      <c r="J38" s="20" t="s">
        <v>3</v>
      </c>
      <c r="K38" s="20" t="s">
        <v>2</v>
      </c>
      <c r="L38" s="20" t="s">
        <v>2</v>
      </c>
      <c r="M38" s="20" t="s">
        <v>8</v>
      </c>
      <c r="N38" s="20" t="s">
        <v>8</v>
      </c>
      <c r="O38" s="11" t="s">
        <v>17</v>
      </c>
      <c r="P38" s="4">
        <v>8.7222222222222214</v>
      </c>
    </row>
    <row r="39" spans="1:16" s="5" customFormat="1" ht="42" customHeight="1">
      <c r="A39" s="2">
        <v>37</v>
      </c>
      <c r="B39" s="12">
        <v>2544640426</v>
      </c>
      <c r="C39" s="21">
        <v>250371613062</v>
      </c>
      <c r="D39" s="22" t="s">
        <v>1282</v>
      </c>
      <c r="E39" s="12" t="s">
        <v>28</v>
      </c>
      <c r="F39" s="14" t="s">
        <v>15</v>
      </c>
      <c r="G39" s="19" t="s">
        <v>34</v>
      </c>
      <c r="H39" s="20" t="s">
        <v>3</v>
      </c>
      <c r="I39" s="20" t="s">
        <v>3</v>
      </c>
      <c r="J39" s="20" t="s">
        <v>5</v>
      </c>
      <c r="K39" s="20" t="s">
        <v>4</v>
      </c>
      <c r="L39" s="20" t="s">
        <v>3</v>
      </c>
      <c r="M39" s="20" t="s">
        <v>3</v>
      </c>
      <c r="N39" s="20" t="s">
        <v>8</v>
      </c>
      <c r="O39" s="11" t="s">
        <v>17</v>
      </c>
      <c r="P39" s="4">
        <v>7.5</v>
      </c>
    </row>
    <row r="40" spans="1:16" s="5" customFormat="1" ht="42" customHeight="1">
      <c r="A40" s="2">
        <v>38</v>
      </c>
      <c r="B40" s="12">
        <v>2544640734</v>
      </c>
      <c r="C40" s="21">
        <v>250371613063</v>
      </c>
      <c r="D40" s="22" t="s">
        <v>1283</v>
      </c>
      <c r="E40" s="12" t="s">
        <v>28</v>
      </c>
      <c r="F40" s="14" t="s">
        <v>15</v>
      </c>
      <c r="G40" s="19" t="s">
        <v>34</v>
      </c>
      <c r="H40" s="20" t="s">
        <v>5</v>
      </c>
      <c r="I40" s="20" t="s">
        <v>3</v>
      </c>
      <c r="J40" s="20" t="s">
        <v>5</v>
      </c>
      <c r="K40" s="20" t="s">
        <v>4</v>
      </c>
      <c r="L40" s="20" t="s">
        <v>3</v>
      </c>
      <c r="M40" s="20" t="s">
        <v>3</v>
      </c>
      <c r="N40" s="20" t="s">
        <v>2</v>
      </c>
      <c r="O40" s="11" t="s">
        <v>17</v>
      </c>
      <c r="P40" s="4">
        <v>7.1111111111111107</v>
      </c>
    </row>
    <row r="41" spans="1:16" s="5" customFormat="1" ht="42" customHeight="1">
      <c r="A41" s="2">
        <v>39</v>
      </c>
      <c r="B41" s="12">
        <v>2544640378</v>
      </c>
      <c r="C41" s="21">
        <v>250371613064</v>
      </c>
      <c r="D41" s="22" t="s">
        <v>1284</v>
      </c>
      <c r="E41" s="12" t="s">
        <v>28</v>
      </c>
      <c r="F41" s="14" t="s">
        <v>15</v>
      </c>
      <c r="G41" s="19" t="s">
        <v>34</v>
      </c>
      <c r="H41" s="20" t="s">
        <v>3</v>
      </c>
      <c r="I41" s="20" t="s">
        <v>3</v>
      </c>
      <c r="J41" s="20" t="s">
        <v>2</v>
      </c>
      <c r="K41" s="20" t="s">
        <v>8</v>
      </c>
      <c r="L41" s="20" t="s">
        <v>3</v>
      </c>
      <c r="M41" s="20" t="s">
        <v>2</v>
      </c>
      <c r="N41" s="20" t="s">
        <v>2</v>
      </c>
      <c r="O41" s="11" t="s">
        <v>17</v>
      </c>
      <c r="P41" s="4">
        <v>8.6666666666666661</v>
      </c>
    </row>
    <row r="42" spans="1:16" s="5" customFormat="1" ht="42" customHeight="1">
      <c r="A42" s="2">
        <v>40</v>
      </c>
      <c r="B42" s="12">
        <v>2544640115</v>
      </c>
      <c r="C42" s="21">
        <v>250371613065</v>
      </c>
      <c r="D42" s="22" t="s">
        <v>1285</v>
      </c>
      <c r="E42" s="12" t="s">
        <v>28</v>
      </c>
      <c r="F42" s="14" t="s">
        <v>15</v>
      </c>
      <c r="G42" s="19" t="s">
        <v>34</v>
      </c>
      <c r="H42" s="20" t="s">
        <v>5</v>
      </c>
      <c r="I42" s="20" t="s">
        <v>4</v>
      </c>
      <c r="J42" s="20" t="s">
        <v>8</v>
      </c>
      <c r="K42" s="20" t="s">
        <v>2</v>
      </c>
      <c r="L42" s="20" t="s">
        <v>2</v>
      </c>
      <c r="M42" s="20" t="s">
        <v>3</v>
      </c>
      <c r="N42" s="20" t="s">
        <v>2</v>
      </c>
      <c r="O42" s="11" t="s">
        <v>17</v>
      </c>
      <c r="P42" s="4">
        <v>8.3333333333333339</v>
      </c>
    </row>
    <row r="43" spans="1:16" s="5" customFormat="1" ht="42" customHeight="1">
      <c r="A43" s="2">
        <v>41</v>
      </c>
      <c r="B43" s="12">
        <v>2544640929</v>
      </c>
      <c r="C43" s="21">
        <v>250371613068</v>
      </c>
      <c r="D43" s="22" t="s">
        <v>1286</v>
      </c>
      <c r="E43" s="12" t="s">
        <v>28</v>
      </c>
      <c r="F43" s="14" t="s">
        <v>15</v>
      </c>
      <c r="G43" s="19" t="s">
        <v>34</v>
      </c>
      <c r="H43" s="20" t="s">
        <v>3</v>
      </c>
      <c r="I43" s="20" t="s">
        <v>4</v>
      </c>
      <c r="J43" s="20" t="s">
        <v>3</v>
      </c>
      <c r="K43" s="20" t="s">
        <v>2</v>
      </c>
      <c r="L43" s="20" t="s">
        <v>2</v>
      </c>
      <c r="M43" s="20" t="s">
        <v>8</v>
      </c>
      <c r="N43" s="20" t="s">
        <v>8</v>
      </c>
      <c r="O43" s="11" t="s">
        <v>17</v>
      </c>
      <c r="P43" s="4">
        <v>8.3888888888888893</v>
      </c>
    </row>
    <row r="44" spans="1:16" s="5" customFormat="1" ht="42" customHeight="1">
      <c r="A44" s="2">
        <v>42</v>
      </c>
      <c r="B44" s="12">
        <v>2544640968</v>
      </c>
      <c r="C44" s="21">
        <v>250371613069</v>
      </c>
      <c r="D44" s="22" t="s">
        <v>1287</v>
      </c>
      <c r="E44" s="12" t="s">
        <v>28</v>
      </c>
      <c r="F44" s="14" t="s">
        <v>15</v>
      </c>
      <c r="G44" s="19" t="s">
        <v>34</v>
      </c>
      <c r="H44" s="20" t="s">
        <v>4</v>
      </c>
      <c r="I44" s="20" t="s">
        <v>4</v>
      </c>
      <c r="J44" s="20" t="s">
        <v>3</v>
      </c>
      <c r="K44" s="20" t="s">
        <v>3</v>
      </c>
      <c r="L44" s="20" t="s">
        <v>8</v>
      </c>
      <c r="M44" s="20" t="s">
        <v>8</v>
      </c>
      <c r="N44" s="20" t="s">
        <v>8</v>
      </c>
      <c r="O44" s="11" t="s">
        <v>17</v>
      </c>
      <c r="P44" s="4">
        <v>8.2222222222222214</v>
      </c>
    </row>
    <row r="45" spans="1:16" s="5" customFormat="1" ht="42" customHeight="1">
      <c r="A45" s="2">
        <v>43</v>
      </c>
      <c r="B45" s="12">
        <v>2544640799</v>
      </c>
      <c r="C45" s="21">
        <v>250371613070</v>
      </c>
      <c r="D45" s="22" t="s">
        <v>1288</v>
      </c>
      <c r="E45" s="12" t="s">
        <v>28</v>
      </c>
      <c r="F45" s="14" t="s">
        <v>15</v>
      </c>
      <c r="G45" s="19" t="s">
        <v>34</v>
      </c>
      <c r="H45" s="20" t="s">
        <v>3</v>
      </c>
      <c r="I45" s="20" t="s">
        <v>8</v>
      </c>
      <c r="J45" s="20" t="s">
        <v>2</v>
      </c>
      <c r="K45" s="20" t="s">
        <v>3</v>
      </c>
      <c r="L45" s="20" t="s">
        <v>2</v>
      </c>
      <c r="M45" s="20" t="s">
        <v>8</v>
      </c>
      <c r="N45" s="20" t="s">
        <v>8</v>
      </c>
      <c r="O45" s="11" t="s">
        <v>17</v>
      </c>
      <c r="P45" s="4">
        <v>8.9444444444444446</v>
      </c>
    </row>
    <row r="46" spans="1:16" s="5" customFormat="1" ht="42" customHeight="1">
      <c r="A46" s="2">
        <v>44</v>
      </c>
      <c r="B46" s="12">
        <v>2544640312</v>
      </c>
      <c r="C46" s="21">
        <v>250371613076</v>
      </c>
      <c r="D46" s="22" t="s">
        <v>1289</v>
      </c>
      <c r="E46" s="12" t="s">
        <v>28</v>
      </c>
      <c r="F46" s="14" t="s">
        <v>15</v>
      </c>
      <c r="G46" s="19" t="s">
        <v>34</v>
      </c>
      <c r="H46" s="20" t="s">
        <v>3</v>
      </c>
      <c r="I46" s="20" t="s">
        <v>2</v>
      </c>
      <c r="J46" s="20" t="s">
        <v>2</v>
      </c>
      <c r="K46" s="20" t="s">
        <v>3</v>
      </c>
      <c r="L46" s="20" t="s">
        <v>3</v>
      </c>
      <c r="M46" s="20" t="s">
        <v>8</v>
      </c>
      <c r="N46" s="20" t="s">
        <v>2</v>
      </c>
      <c r="O46" s="11" t="s">
        <v>17</v>
      </c>
      <c r="P46" s="4">
        <v>8.5555555555555554</v>
      </c>
    </row>
    <row r="47" spans="1:16" s="5" customFormat="1" ht="42" customHeight="1">
      <c r="A47" s="2">
        <v>45</v>
      </c>
      <c r="B47" s="12">
        <v>2544640468</v>
      </c>
      <c r="C47" s="21">
        <v>250371613077</v>
      </c>
      <c r="D47" s="22" t="s">
        <v>1290</v>
      </c>
      <c r="E47" s="12" t="s">
        <v>28</v>
      </c>
      <c r="F47" s="14" t="s">
        <v>15</v>
      </c>
      <c r="G47" s="19" t="s">
        <v>34</v>
      </c>
      <c r="H47" s="20" t="s">
        <v>4</v>
      </c>
      <c r="I47" s="20" t="s">
        <v>8</v>
      </c>
      <c r="J47" s="20" t="s">
        <v>4</v>
      </c>
      <c r="K47" s="20" t="s">
        <v>2</v>
      </c>
      <c r="L47" s="20" t="s">
        <v>8</v>
      </c>
      <c r="M47" s="20" t="s">
        <v>3</v>
      </c>
      <c r="N47" s="20" t="s">
        <v>2</v>
      </c>
      <c r="O47" s="11" t="s">
        <v>17</v>
      </c>
      <c r="P47" s="4">
        <v>8.5</v>
      </c>
    </row>
    <row r="48" spans="1:16" s="5" customFormat="1" ht="42" customHeight="1">
      <c r="A48" s="2">
        <v>46</v>
      </c>
      <c r="B48" s="12">
        <v>2544641027</v>
      </c>
      <c r="C48" s="21">
        <v>250371613078</v>
      </c>
      <c r="D48" s="22" t="s">
        <v>1291</v>
      </c>
      <c r="E48" s="12" t="s">
        <v>28</v>
      </c>
      <c r="F48" s="14" t="s">
        <v>15</v>
      </c>
      <c r="G48" s="19" t="s">
        <v>34</v>
      </c>
      <c r="H48" s="20" t="s">
        <v>2</v>
      </c>
      <c r="I48" s="20" t="s">
        <v>8</v>
      </c>
      <c r="J48" s="20" t="s">
        <v>2</v>
      </c>
      <c r="K48" s="20" t="s">
        <v>2</v>
      </c>
      <c r="L48" s="20" t="s">
        <v>8</v>
      </c>
      <c r="M48" s="20" t="s">
        <v>8</v>
      </c>
      <c r="N48" s="20" t="s">
        <v>2</v>
      </c>
      <c r="O48" s="11" t="s">
        <v>17</v>
      </c>
      <c r="P48" s="4">
        <v>9.3888888888888893</v>
      </c>
    </row>
    <row r="49" spans="1:16" s="5" customFormat="1" ht="42" customHeight="1">
      <c r="A49" s="2">
        <v>47</v>
      </c>
      <c r="B49" s="12">
        <v>2544640973</v>
      </c>
      <c r="C49" s="21">
        <v>250371613079</v>
      </c>
      <c r="D49" s="22" t="s">
        <v>1292</v>
      </c>
      <c r="E49" s="12" t="s">
        <v>28</v>
      </c>
      <c r="F49" s="14" t="s">
        <v>15</v>
      </c>
      <c r="G49" s="19" t="s">
        <v>34</v>
      </c>
      <c r="H49" s="20" t="s">
        <v>4</v>
      </c>
      <c r="I49" s="20" t="s">
        <v>5</v>
      </c>
      <c r="J49" s="20" t="s">
        <v>5</v>
      </c>
      <c r="K49" s="20" t="s">
        <v>4</v>
      </c>
      <c r="L49" s="20" t="s">
        <v>3</v>
      </c>
      <c r="M49" s="20" t="s">
        <v>4</v>
      </c>
      <c r="N49" s="20" t="s">
        <v>2</v>
      </c>
      <c r="O49" s="11" t="s">
        <v>17</v>
      </c>
      <c r="P49" s="4">
        <v>6.8888888888888893</v>
      </c>
    </row>
    <row r="50" spans="1:16" s="5" customFormat="1" ht="42" customHeight="1">
      <c r="A50" s="2">
        <v>48</v>
      </c>
      <c r="B50" s="12">
        <v>2544640966</v>
      </c>
      <c r="C50" s="21">
        <v>250371613080</v>
      </c>
      <c r="D50" s="22" t="s">
        <v>1293</v>
      </c>
      <c r="E50" s="12" t="s">
        <v>28</v>
      </c>
      <c r="F50" s="14" t="s">
        <v>15</v>
      </c>
      <c r="G50" s="19" t="s">
        <v>34</v>
      </c>
      <c r="H50" s="20" t="s">
        <v>3</v>
      </c>
      <c r="I50" s="20" t="s">
        <v>3</v>
      </c>
      <c r="J50" s="20" t="s">
        <v>8</v>
      </c>
      <c r="K50" s="20" t="s">
        <v>2</v>
      </c>
      <c r="L50" s="20" t="s">
        <v>8</v>
      </c>
      <c r="M50" s="20" t="s">
        <v>8</v>
      </c>
      <c r="N50" s="20" t="s">
        <v>2</v>
      </c>
      <c r="O50" s="11" t="s">
        <v>17</v>
      </c>
      <c r="P50" s="4">
        <v>9.1111111111111107</v>
      </c>
    </row>
    <row r="51" spans="1:16" s="5" customFormat="1" ht="42" customHeight="1">
      <c r="A51" s="2">
        <v>49</v>
      </c>
      <c r="B51" s="12">
        <v>2544640107</v>
      </c>
      <c r="C51" s="21">
        <v>250371613081</v>
      </c>
      <c r="D51" s="22" t="s">
        <v>1294</v>
      </c>
      <c r="E51" s="12" t="s">
        <v>28</v>
      </c>
      <c r="F51" s="14" t="s">
        <v>15</v>
      </c>
      <c r="G51" s="19" t="s">
        <v>34</v>
      </c>
      <c r="H51" s="20" t="s">
        <v>4</v>
      </c>
      <c r="I51" s="20" t="s">
        <v>3</v>
      </c>
      <c r="J51" s="20" t="s">
        <v>3</v>
      </c>
      <c r="K51" s="20" t="s">
        <v>3</v>
      </c>
      <c r="L51" s="20" t="s">
        <v>2</v>
      </c>
      <c r="M51" s="20" t="s">
        <v>4</v>
      </c>
      <c r="N51" s="20" t="s">
        <v>2</v>
      </c>
      <c r="O51" s="11" t="s">
        <v>17</v>
      </c>
      <c r="P51" s="4">
        <v>8</v>
      </c>
    </row>
    <row r="52" spans="1:16" s="5" customFormat="1" ht="42" customHeight="1">
      <c r="A52" s="2">
        <v>50</v>
      </c>
      <c r="B52" s="12">
        <v>2544640992</v>
      </c>
      <c r="C52" s="21">
        <v>250371613082</v>
      </c>
      <c r="D52" s="22" t="s">
        <v>1295</v>
      </c>
      <c r="E52" s="12" t="s">
        <v>28</v>
      </c>
      <c r="F52" s="14" t="s">
        <v>15</v>
      </c>
      <c r="G52" s="19" t="s">
        <v>34</v>
      </c>
      <c r="H52" s="20" t="s">
        <v>3</v>
      </c>
      <c r="I52" s="20" t="s">
        <v>2</v>
      </c>
      <c r="J52" s="20" t="s">
        <v>3</v>
      </c>
      <c r="K52" s="20" t="s">
        <v>2</v>
      </c>
      <c r="L52" s="20" t="s">
        <v>8</v>
      </c>
      <c r="M52" s="20" t="s">
        <v>4</v>
      </c>
      <c r="N52" s="20" t="s">
        <v>2</v>
      </c>
      <c r="O52" s="11" t="s">
        <v>17</v>
      </c>
      <c r="P52" s="4">
        <v>8.6666666666666661</v>
      </c>
    </row>
    <row r="53" spans="1:16" s="5" customFormat="1" ht="42" customHeight="1">
      <c r="A53" s="2">
        <v>51</v>
      </c>
      <c r="B53" s="12">
        <v>2544640950</v>
      </c>
      <c r="C53" s="21">
        <v>250371613084</v>
      </c>
      <c r="D53" s="22" t="s">
        <v>1296</v>
      </c>
      <c r="E53" s="12" t="s">
        <v>28</v>
      </c>
      <c r="F53" s="14" t="s">
        <v>15</v>
      </c>
      <c r="G53" s="19" t="s">
        <v>34</v>
      </c>
      <c r="H53" s="20" t="s">
        <v>3</v>
      </c>
      <c r="I53" s="20" t="s">
        <v>4</v>
      </c>
      <c r="J53" s="20" t="s">
        <v>3</v>
      </c>
      <c r="K53" s="20" t="s">
        <v>2</v>
      </c>
      <c r="L53" s="20" t="s">
        <v>2</v>
      </c>
      <c r="M53" s="20" t="s">
        <v>8</v>
      </c>
      <c r="N53" s="20" t="s">
        <v>2</v>
      </c>
      <c r="O53" s="11" t="s">
        <v>17</v>
      </c>
      <c r="P53" s="4">
        <v>8.3333333333333339</v>
      </c>
    </row>
    <row r="54" spans="1:16" s="5" customFormat="1" ht="42" customHeight="1">
      <c r="A54" s="2">
        <v>52</v>
      </c>
      <c r="B54" s="12">
        <v>2544640046</v>
      </c>
      <c r="C54" s="21">
        <v>250371613086</v>
      </c>
      <c r="D54" s="22" t="s">
        <v>1297</v>
      </c>
      <c r="E54" s="12" t="s">
        <v>28</v>
      </c>
      <c r="F54" s="14" t="s">
        <v>15</v>
      </c>
      <c r="G54" s="19" t="s">
        <v>34</v>
      </c>
      <c r="H54" s="20" t="s">
        <v>3</v>
      </c>
      <c r="I54" s="20" t="s">
        <v>3</v>
      </c>
      <c r="J54" s="20" t="s">
        <v>3</v>
      </c>
      <c r="K54" s="20" t="s">
        <v>8</v>
      </c>
      <c r="L54" s="20" t="s">
        <v>2</v>
      </c>
      <c r="M54" s="20" t="s">
        <v>3</v>
      </c>
      <c r="N54" s="20" t="s">
        <v>2</v>
      </c>
      <c r="O54" s="11" t="s">
        <v>17</v>
      </c>
      <c r="P54" s="4">
        <v>8.5555555555555554</v>
      </c>
    </row>
    <row r="55" spans="1:16" s="5" customFormat="1" ht="42" customHeight="1">
      <c r="A55" s="2">
        <v>53</v>
      </c>
      <c r="B55" s="12">
        <v>2544640983</v>
      </c>
      <c r="C55" s="21">
        <v>250371613088</v>
      </c>
      <c r="D55" s="22" t="s">
        <v>1298</v>
      </c>
      <c r="E55" s="12" t="s">
        <v>28</v>
      </c>
      <c r="F55" s="14" t="s">
        <v>15</v>
      </c>
      <c r="G55" s="19" t="s">
        <v>34</v>
      </c>
      <c r="H55" s="20" t="s">
        <v>4</v>
      </c>
      <c r="I55" s="20" t="s">
        <v>4</v>
      </c>
      <c r="J55" s="20" t="s">
        <v>6</v>
      </c>
      <c r="K55" s="20" t="s">
        <v>4</v>
      </c>
      <c r="L55" s="20" t="s">
        <v>4</v>
      </c>
      <c r="M55" s="20" t="s">
        <v>3</v>
      </c>
      <c r="N55" s="20" t="s">
        <v>2</v>
      </c>
      <c r="O55" s="11" t="s">
        <v>17</v>
      </c>
      <c r="P55" s="4">
        <v>6.7222222222222223</v>
      </c>
    </row>
    <row r="56" spans="1:16" s="5" customFormat="1" ht="42" customHeight="1">
      <c r="A56" s="2">
        <v>54</v>
      </c>
      <c r="B56" s="12">
        <v>2544640960</v>
      </c>
      <c r="C56" s="21">
        <v>250371613089</v>
      </c>
      <c r="D56" s="22" t="s">
        <v>1299</v>
      </c>
      <c r="E56" s="12" t="s">
        <v>28</v>
      </c>
      <c r="F56" s="14" t="s">
        <v>15</v>
      </c>
      <c r="G56" s="19" t="s">
        <v>34</v>
      </c>
      <c r="H56" s="20" t="s">
        <v>4</v>
      </c>
      <c r="I56" s="20" t="s">
        <v>5</v>
      </c>
      <c r="J56" s="20" t="s">
        <v>4</v>
      </c>
      <c r="K56" s="20" t="s">
        <v>5</v>
      </c>
      <c r="L56" s="20" t="s">
        <v>4</v>
      </c>
      <c r="M56" s="20" t="s">
        <v>8</v>
      </c>
      <c r="N56" s="20" t="s">
        <v>2</v>
      </c>
      <c r="O56" s="11" t="s">
        <v>17</v>
      </c>
      <c r="P56" s="4">
        <v>6.9444444444444446</v>
      </c>
    </row>
    <row r="57" spans="1:16" s="5" customFormat="1" ht="42" customHeight="1">
      <c r="A57" s="2">
        <v>55</v>
      </c>
      <c r="B57" s="12">
        <v>2544641030</v>
      </c>
      <c r="C57" s="21">
        <v>250371613092</v>
      </c>
      <c r="D57" s="22" t="s">
        <v>1300</v>
      </c>
      <c r="E57" s="12" t="s">
        <v>28</v>
      </c>
      <c r="F57" s="14" t="s">
        <v>15</v>
      </c>
      <c r="G57" s="19" t="s">
        <v>34</v>
      </c>
      <c r="H57" s="20" t="s">
        <v>5</v>
      </c>
      <c r="I57" s="20" t="s">
        <v>2</v>
      </c>
      <c r="J57" s="20" t="s">
        <v>2</v>
      </c>
      <c r="K57" s="20" t="s">
        <v>2</v>
      </c>
      <c r="L57" s="20" t="s">
        <v>8</v>
      </c>
      <c r="M57" s="20" t="s">
        <v>3</v>
      </c>
      <c r="N57" s="20" t="s">
        <v>2</v>
      </c>
      <c r="O57" s="11" t="s">
        <v>17</v>
      </c>
      <c r="P57" s="4">
        <v>8.6111111111111107</v>
      </c>
    </row>
    <row r="58" spans="1:16" s="5" customFormat="1" ht="42" customHeight="1">
      <c r="A58" s="2">
        <v>56</v>
      </c>
      <c r="B58" s="12">
        <v>2544640640</v>
      </c>
      <c r="C58" s="21">
        <v>250371613094</v>
      </c>
      <c r="D58" s="22" t="s">
        <v>1301</v>
      </c>
      <c r="E58" s="12" t="s">
        <v>28</v>
      </c>
      <c r="F58" s="14" t="s">
        <v>15</v>
      </c>
      <c r="G58" s="19" t="s">
        <v>34</v>
      </c>
      <c r="H58" s="20" t="s">
        <v>4</v>
      </c>
      <c r="I58" s="20" t="s">
        <v>6</v>
      </c>
      <c r="J58" s="20" t="s">
        <v>3</v>
      </c>
      <c r="K58" s="20" t="s">
        <v>4</v>
      </c>
      <c r="L58" s="20" t="s">
        <v>3</v>
      </c>
      <c r="M58" s="20" t="s">
        <v>8</v>
      </c>
      <c r="N58" s="20" t="s">
        <v>2</v>
      </c>
      <c r="O58" s="11" t="s">
        <v>17</v>
      </c>
      <c r="P58" s="4">
        <v>7.333333333333333</v>
      </c>
    </row>
    <row r="59" spans="1:16" s="5" customFormat="1" ht="42" customHeight="1">
      <c r="A59" s="2">
        <v>57</v>
      </c>
      <c r="B59" s="12">
        <v>2544640984</v>
      </c>
      <c r="C59" s="21">
        <v>250371613096</v>
      </c>
      <c r="D59" s="22" t="s">
        <v>1302</v>
      </c>
      <c r="E59" s="12" t="s">
        <v>28</v>
      </c>
      <c r="F59" s="14" t="s">
        <v>15</v>
      </c>
      <c r="G59" s="19" t="s">
        <v>34</v>
      </c>
      <c r="H59" s="20" t="s">
        <v>4</v>
      </c>
      <c r="I59" s="20" t="s">
        <v>3</v>
      </c>
      <c r="J59" s="20" t="s">
        <v>4</v>
      </c>
      <c r="K59" s="20" t="s">
        <v>3</v>
      </c>
      <c r="L59" s="20" t="s">
        <v>2</v>
      </c>
      <c r="M59" s="20" t="s">
        <v>4</v>
      </c>
      <c r="N59" s="20" t="s">
        <v>2</v>
      </c>
      <c r="O59" s="11" t="s">
        <v>17</v>
      </c>
      <c r="P59" s="4">
        <v>7.7777777777777777</v>
      </c>
    </row>
    <row r="60" spans="1:16" s="5" customFormat="1" ht="42" customHeight="1">
      <c r="A60" s="2">
        <v>58</v>
      </c>
      <c r="B60" s="12">
        <v>2544640543</v>
      </c>
      <c r="C60" s="21">
        <v>250371613097</v>
      </c>
      <c r="D60" s="22" t="s">
        <v>1303</v>
      </c>
      <c r="E60" s="12" t="s">
        <v>28</v>
      </c>
      <c r="F60" s="14" t="s">
        <v>15</v>
      </c>
      <c r="G60" s="19" t="s">
        <v>34</v>
      </c>
      <c r="H60" s="20" t="s">
        <v>4</v>
      </c>
      <c r="I60" s="20" t="s">
        <v>2</v>
      </c>
      <c r="J60" s="20" t="s">
        <v>3</v>
      </c>
      <c r="K60" s="20" t="s">
        <v>2</v>
      </c>
      <c r="L60" s="20" t="s">
        <v>8</v>
      </c>
      <c r="M60" s="20" t="s">
        <v>4</v>
      </c>
      <c r="N60" s="20" t="s">
        <v>8</v>
      </c>
      <c r="O60" s="11" t="s">
        <v>17</v>
      </c>
      <c r="P60" s="4">
        <v>8.5555555555555554</v>
      </c>
    </row>
    <row r="61" spans="1:16" s="5" customFormat="1" ht="42" customHeight="1">
      <c r="A61" s="2">
        <v>59</v>
      </c>
      <c r="B61" s="12">
        <v>2544640969</v>
      </c>
      <c r="C61" s="21">
        <v>250371613098</v>
      </c>
      <c r="D61" s="22" t="s">
        <v>1304</v>
      </c>
      <c r="E61" s="12" t="s">
        <v>28</v>
      </c>
      <c r="F61" s="14" t="s">
        <v>15</v>
      </c>
      <c r="G61" s="19" t="s">
        <v>34</v>
      </c>
      <c r="H61" s="20" t="s">
        <v>5</v>
      </c>
      <c r="I61" s="20" t="s">
        <v>3</v>
      </c>
      <c r="J61" s="20" t="s">
        <v>3</v>
      </c>
      <c r="K61" s="20" t="s">
        <v>2</v>
      </c>
      <c r="L61" s="20" t="s">
        <v>8</v>
      </c>
      <c r="M61" s="20" t="s">
        <v>4</v>
      </c>
      <c r="N61" s="20" t="s">
        <v>2</v>
      </c>
      <c r="O61" s="11" t="s">
        <v>17</v>
      </c>
      <c r="P61" s="4">
        <v>8.1666666666666661</v>
      </c>
    </row>
    <row r="62" spans="1:16" s="5" customFormat="1" ht="42" customHeight="1">
      <c r="A62" s="2">
        <v>60</v>
      </c>
      <c r="B62" s="12">
        <v>2544640179</v>
      </c>
      <c r="C62" s="21">
        <v>250371613099</v>
      </c>
      <c r="D62" s="22" t="s">
        <v>1305</v>
      </c>
      <c r="E62" s="12" t="s">
        <v>28</v>
      </c>
      <c r="F62" s="14" t="s">
        <v>15</v>
      </c>
      <c r="G62" s="19" t="s">
        <v>34</v>
      </c>
      <c r="H62" s="20" t="s">
        <v>3</v>
      </c>
      <c r="I62" s="20" t="s">
        <v>2</v>
      </c>
      <c r="J62" s="20" t="s">
        <v>2</v>
      </c>
      <c r="K62" s="20" t="s">
        <v>2</v>
      </c>
      <c r="L62" s="20" t="s">
        <v>8</v>
      </c>
      <c r="M62" s="20" t="s">
        <v>3</v>
      </c>
      <c r="N62" s="20" t="s">
        <v>8</v>
      </c>
      <c r="O62" s="11" t="s">
        <v>17</v>
      </c>
      <c r="P62" s="4">
        <v>9</v>
      </c>
    </row>
    <row r="63" spans="1:16" s="5" customFormat="1" ht="42" customHeight="1">
      <c r="A63" s="2">
        <v>61</v>
      </c>
      <c r="B63" s="12">
        <v>2544640615</v>
      </c>
      <c r="C63" s="21">
        <v>250371613104</v>
      </c>
      <c r="D63" s="22" t="s">
        <v>1306</v>
      </c>
      <c r="E63" s="12" t="s">
        <v>28</v>
      </c>
      <c r="F63" s="14" t="s">
        <v>15</v>
      </c>
      <c r="G63" s="19" t="s">
        <v>34</v>
      </c>
      <c r="H63" s="20" t="s">
        <v>4</v>
      </c>
      <c r="I63" s="20" t="s">
        <v>11</v>
      </c>
      <c r="J63" s="20" t="s">
        <v>4</v>
      </c>
      <c r="K63" s="20" t="s">
        <v>5</v>
      </c>
      <c r="L63" s="20" t="s">
        <v>1517</v>
      </c>
      <c r="M63" s="20" t="s">
        <v>4</v>
      </c>
      <c r="N63" s="20" t="s">
        <v>2</v>
      </c>
      <c r="O63" s="11" t="s">
        <v>1517</v>
      </c>
      <c r="P63" s="4">
        <v>0</v>
      </c>
    </row>
    <row r="64" spans="1:16" s="5" customFormat="1" ht="42" customHeight="1">
      <c r="A64" s="2">
        <v>62</v>
      </c>
      <c r="B64" s="12">
        <v>2544640670</v>
      </c>
      <c r="C64" s="21">
        <v>250371613105</v>
      </c>
      <c r="D64" s="22" t="s">
        <v>1307</v>
      </c>
      <c r="E64" s="12" t="s">
        <v>28</v>
      </c>
      <c r="F64" s="14" t="s">
        <v>15</v>
      </c>
      <c r="G64" s="19" t="s">
        <v>34</v>
      </c>
      <c r="H64" s="20" t="s">
        <v>4</v>
      </c>
      <c r="I64" s="20" t="s">
        <v>8</v>
      </c>
      <c r="J64" s="20" t="s">
        <v>2</v>
      </c>
      <c r="K64" s="20" t="s">
        <v>2</v>
      </c>
      <c r="L64" s="20" t="s">
        <v>8</v>
      </c>
      <c r="M64" s="20" t="s">
        <v>8</v>
      </c>
      <c r="N64" s="20" t="s">
        <v>8</v>
      </c>
      <c r="O64" s="11" t="s">
        <v>17</v>
      </c>
      <c r="P64" s="4">
        <v>9.1111111111111107</v>
      </c>
    </row>
    <row r="65" spans="1:16" s="5" customFormat="1" ht="42" customHeight="1">
      <c r="A65" s="2">
        <v>63</v>
      </c>
      <c r="B65" s="12">
        <v>2544640267</v>
      </c>
      <c r="C65" s="21">
        <v>250371613106</v>
      </c>
      <c r="D65" s="22" t="s">
        <v>1308</v>
      </c>
      <c r="E65" s="12" t="s">
        <v>28</v>
      </c>
      <c r="F65" s="14" t="s">
        <v>15</v>
      </c>
      <c r="G65" s="19" t="s">
        <v>34</v>
      </c>
      <c r="H65" s="20" t="s">
        <v>6</v>
      </c>
      <c r="I65" s="20" t="s">
        <v>2</v>
      </c>
      <c r="J65" s="20" t="s">
        <v>3</v>
      </c>
      <c r="K65" s="20" t="s">
        <v>3</v>
      </c>
      <c r="L65" s="20" t="s">
        <v>2</v>
      </c>
      <c r="M65" s="20" t="s">
        <v>4</v>
      </c>
      <c r="N65" s="20" t="s">
        <v>2</v>
      </c>
      <c r="O65" s="11" t="s">
        <v>17</v>
      </c>
      <c r="P65" s="4">
        <v>7.833333333333333</v>
      </c>
    </row>
    <row r="66" spans="1:16" s="5" customFormat="1" ht="42" customHeight="1">
      <c r="A66" s="2">
        <v>64</v>
      </c>
      <c r="B66" s="12">
        <v>2544641031</v>
      </c>
      <c r="C66" s="21">
        <v>250371613107</v>
      </c>
      <c r="D66" s="22" t="s">
        <v>1309</v>
      </c>
      <c r="E66" s="12" t="s">
        <v>28</v>
      </c>
      <c r="F66" s="14" t="s">
        <v>15</v>
      </c>
      <c r="G66" s="19" t="s">
        <v>34</v>
      </c>
      <c r="H66" s="20" t="s">
        <v>4</v>
      </c>
      <c r="I66" s="20" t="s">
        <v>8</v>
      </c>
      <c r="J66" s="20" t="s">
        <v>3</v>
      </c>
      <c r="K66" s="20" t="s">
        <v>8</v>
      </c>
      <c r="L66" s="20" t="s">
        <v>8</v>
      </c>
      <c r="M66" s="20" t="s">
        <v>4</v>
      </c>
      <c r="N66" s="20" t="s">
        <v>8</v>
      </c>
      <c r="O66" s="11" t="s">
        <v>17</v>
      </c>
      <c r="P66" s="4">
        <v>8.8888888888888893</v>
      </c>
    </row>
    <row r="67" spans="1:16" s="5" customFormat="1" ht="42" customHeight="1">
      <c r="A67" s="2">
        <v>65</v>
      </c>
      <c r="B67" s="12">
        <v>2544641017</v>
      </c>
      <c r="C67" s="21">
        <v>250371613108</v>
      </c>
      <c r="D67" s="22" t="s">
        <v>1310</v>
      </c>
      <c r="E67" s="12" t="s">
        <v>28</v>
      </c>
      <c r="F67" s="14" t="s">
        <v>15</v>
      </c>
      <c r="G67" s="19" t="s">
        <v>34</v>
      </c>
      <c r="H67" s="20" t="s">
        <v>3</v>
      </c>
      <c r="I67" s="20" t="s">
        <v>8</v>
      </c>
      <c r="J67" s="20" t="s">
        <v>3</v>
      </c>
      <c r="K67" s="20" t="s">
        <v>8</v>
      </c>
      <c r="L67" s="20" t="s">
        <v>2</v>
      </c>
      <c r="M67" s="20" t="s">
        <v>2</v>
      </c>
      <c r="N67" s="20" t="s">
        <v>2</v>
      </c>
      <c r="O67" s="11" t="s">
        <v>17</v>
      </c>
      <c r="P67" s="4">
        <v>8.9444444444444446</v>
      </c>
    </row>
    <row r="68" spans="1:16" s="5" customFormat="1" ht="42" customHeight="1">
      <c r="A68" s="2">
        <v>66</v>
      </c>
      <c r="B68" s="12">
        <v>2544640182</v>
      </c>
      <c r="C68" s="21">
        <v>250371613109</v>
      </c>
      <c r="D68" s="22" t="s">
        <v>1311</v>
      </c>
      <c r="E68" s="12" t="s">
        <v>28</v>
      </c>
      <c r="F68" s="14" t="s">
        <v>15</v>
      </c>
      <c r="G68" s="19" t="s">
        <v>34</v>
      </c>
      <c r="H68" s="20" t="s">
        <v>4</v>
      </c>
      <c r="I68" s="20" t="s">
        <v>4</v>
      </c>
      <c r="J68" s="20" t="s">
        <v>4</v>
      </c>
      <c r="K68" s="20" t="s">
        <v>4</v>
      </c>
      <c r="L68" s="20" t="s">
        <v>3</v>
      </c>
      <c r="M68" s="20" t="s">
        <v>3</v>
      </c>
      <c r="N68" s="20" t="s">
        <v>2</v>
      </c>
      <c r="O68" s="11" t="s">
        <v>17</v>
      </c>
      <c r="P68" s="4">
        <v>7.333333333333333</v>
      </c>
    </row>
    <row r="69" spans="1:16" s="5" customFormat="1" ht="42" customHeight="1">
      <c r="A69" s="2">
        <v>67</v>
      </c>
      <c r="B69" s="12">
        <v>2544640604</v>
      </c>
      <c r="C69" s="21">
        <v>250371613110</v>
      </c>
      <c r="D69" s="22" t="s">
        <v>1312</v>
      </c>
      <c r="E69" s="12" t="s">
        <v>28</v>
      </c>
      <c r="F69" s="14" t="s">
        <v>15</v>
      </c>
      <c r="G69" s="19" t="s">
        <v>34</v>
      </c>
      <c r="H69" s="20" t="s">
        <v>4</v>
      </c>
      <c r="I69" s="20" t="s">
        <v>5</v>
      </c>
      <c r="J69" s="20" t="s">
        <v>4</v>
      </c>
      <c r="K69" s="20" t="s">
        <v>3</v>
      </c>
      <c r="L69" s="20" t="s">
        <v>3</v>
      </c>
      <c r="M69" s="20" t="s">
        <v>3</v>
      </c>
      <c r="N69" s="20" t="s">
        <v>2</v>
      </c>
      <c r="O69" s="11" t="s">
        <v>17</v>
      </c>
      <c r="P69" s="4">
        <v>7.333333333333333</v>
      </c>
    </row>
    <row r="70" spans="1:16" s="5" customFormat="1" ht="42" customHeight="1">
      <c r="A70" s="2">
        <v>68</v>
      </c>
      <c r="B70" s="12">
        <v>2544640090</v>
      </c>
      <c r="C70" s="21">
        <v>250371613111</v>
      </c>
      <c r="D70" s="22" t="s">
        <v>1313</v>
      </c>
      <c r="E70" s="12" t="s">
        <v>28</v>
      </c>
      <c r="F70" s="14" t="s">
        <v>15</v>
      </c>
      <c r="G70" s="19" t="s">
        <v>34</v>
      </c>
      <c r="H70" s="20" t="s">
        <v>3</v>
      </c>
      <c r="I70" s="20" t="s">
        <v>4</v>
      </c>
      <c r="J70" s="20" t="s">
        <v>4</v>
      </c>
      <c r="K70" s="20" t="s">
        <v>3</v>
      </c>
      <c r="L70" s="20" t="s">
        <v>2</v>
      </c>
      <c r="M70" s="20" t="s">
        <v>4</v>
      </c>
      <c r="N70" s="20" t="s">
        <v>2</v>
      </c>
      <c r="O70" s="11" t="s">
        <v>17</v>
      </c>
      <c r="P70" s="4">
        <v>7.7777777777777777</v>
      </c>
    </row>
    <row r="71" spans="1:16" s="5" customFormat="1" ht="42" customHeight="1">
      <c r="A71" s="2">
        <v>69</v>
      </c>
      <c r="B71" s="12">
        <v>2544641028</v>
      </c>
      <c r="C71" s="21">
        <v>250371613113</v>
      </c>
      <c r="D71" s="22" t="s">
        <v>1314</v>
      </c>
      <c r="E71" s="12" t="s">
        <v>28</v>
      </c>
      <c r="F71" s="14" t="s">
        <v>15</v>
      </c>
      <c r="G71" s="19" t="s">
        <v>34</v>
      </c>
      <c r="H71" s="20" t="s">
        <v>4</v>
      </c>
      <c r="I71" s="20" t="s">
        <v>3</v>
      </c>
      <c r="J71" s="20" t="s">
        <v>5</v>
      </c>
      <c r="K71" s="20" t="s">
        <v>3</v>
      </c>
      <c r="L71" s="20" t="s">
        <v>2</v>
      </c>
      <c r="M71" s="20" t="s">
        <v>3</v>
      </c>
      <c r="N71" s="20" t="s">
        <v>2</v>
      </c>
      <c r="O71" s="11" t="s">
        <v>17</v>
      </c>
      <c r="P71" s="4">
        <v>7.6111111111111107</v>
      </c>
    </row>
  </sheetData>
  <autoFilter ref="A1:P71">
    <filterColumn colId="6"/>
    <filterColumn colId="10"/>
    <filterColumn colId="11"/>
    <filterColumn colId="12"/>
    <filterColumn colId="13"/>
  </autoFilter>
  <mergeCells count="8">
    <mergeCell ref="G1:G2"/>
    <mergeCell ref="P1:P2"/>
    <mergeCell ref="A1:A2"/>
    <mergeCell ref="B1:B2"/>
    <mergeCell ref="C1:C2"/>
    <mergeCell ref="D1:D2"/>
    <mergeCell ref="E1:E2"/>
    <mergeCell ref="F1:F2"/>
  </mergeCells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P46"/>
  <sheetViews>
    <sheetView zoomScale="85" zoomScaleNormal="85" workbookViewId="0">
      <selection activeCell="L39" sqref="L39"/>
    </sheetView>
  </sheetViews>
  <sheetFormatPr defaultRowHeight="15"/>
  <cols>
    <col min="1" max="1" width="6.5703125" style="6" bestFit="1" customWidth="1"/>
    <col min="2" max="2" width="16.28515625" style="6" customWidth="1"/>
    <col min="3" max="3" width="18.28515625" style="6" bestFit="1" customWidth="1"/>
    <col min="4" max="4" width="44.5703125" style="6" customWidth="1"/>
    <col min="5" max="5" width="12.140625" style="9" customWidth="1"/>
    <col min="6" max="7" width="13.42578125" style="6" customWidth="1"/>
    <col min="8" max="8" width="17.85546875" style="6" customWidth="1"/>
    <col min="9" max="9" width="18.5703125" style="6" customWidth="1"/>
    <col min="10" max="10" width="18.85546875" style="6" customWidth="1"/>
    <col min="11" max="15" width="17.85546875" style="6" customWidth="1"/>
    <col min="16" max="16" width="9.140625" style="7" customWidth="1"/>
    <col min="17" max="16384" width="9.140625" style="6"/>
  </cols>
  <sheetData>
    <row r="1" spans="1:16" s="8" customFormat="1" ht="127.5" customHeight="1">
      <c r="A1" s="53" t="s">
        <v>1</v>
      </c>
      <c r="B1" s="53" t="s">
        <v>16</v>
      </c>
      <c r="C1" s="53" t="s">
        <v>12</v>
      </c>
      <c r="D1" s="53" t="s">
        <v>13</v>
      </c>
      <c r="E1" s="53" t="s">
        <v>14</v>
      </c>
      <c r="F1" s="53" t="s">
        <v>0</v>
      </c>
      <c r="G1" s="53" t="s">
        <v>31</v>
      </c>
      <c r="H1" s="1" t="s">
        <v>78</v>
      </c>
      <c r="I1" s="1" t="s">
        <v>83</v>
      </c>
      <c r="J1" s="1" t="s">
        <v>80</v>
      </c>
      <c r="K1" s="1" t="s">
        <v>391</v>
      </c>
      <c r="L1" s="1" t="s">
        <v>392</v>
      </c>
      <c r="M1" s="1" t="s">
        <v>393</v>
      </c>
      <c r="N1" s="1" t="s">
        <v>394</v>
      </c>
      <c r="O1" s="1" t="s">
        <v>10</v>
      </c>
      <c r="P1" s="55" t="s">
        <v>9</v>
      </c>
    </row>
    <row r="2" spans="1:16" s="8" customFormat="1" ht="29.25" customHeight="1">
      <c r="A2" s="54"/>
      <c r="B2" s="54"/>
      <c r="C2" s="54"/>
      <c r="D2" s="54"/>
      <c r="E2" s="54"/>
      <c r="F2" s="54"/>
      <c r="G2" s="54"/>
      <c r="H2" s="10">
        <v>3</v>
      </c>
      <c r="I2" s="10">
        <v>3</v>
      </c>
      <c r="J2" s="10">
        <v>4</v>
      </c>
      <c r="K2" s="10">
        <v>3</v>
      </c>
      <c r="L2" s="10">
        <v>3</v>
      </c>
      <c r="M2" s="10">
        <v>1</v>
      </c>
      <c r="N2" s="10">
        <v>1</v>
      </c>
      <c r="O2" s="10">
        <f>SUM(H2:N2)</f>
        <v>18</v>
      </c>
      <c r="P2" s="56"/>
    </row>
    <row r="3" spans="1:16" s="5" customFormat="1" ht="42" customHeight="1">
      <c r="A3" s="2">
        <v>1</v>
      </c>
      <c r="B3" s="12">
        <v>2544640133</v>
      </c>
      <c r="C3" s="21">
        <v>250371613001</v>
      </c>
      <c r="D3" s="22" t="s">
        <v>1315</v>
      </c>
      <c r="E3" s="12" t="s">
        <v>28</v>
      </c>
      <c r="F3" s="14" t="s">
        <v>15</v>
      </c>
      <c r="G3" s="19" t="s">
        <v>85</v>
      </c>
      <c r="H3" s="20" t="s">
        <v>3</v>
      </c>
      <c r="I3" s="20" t="s">
        <v>3</v>
      </c>
      <c r="J3" s="20" t="s">
        <v>2</v>
      </c>
      <c r="K3" s="20" t="s">
        <v>2</v>
      </c>
      <c r="L3" s="20" t="s">
        <v>8</v>
      </c>
      <c r="M3" s="20" t="s">
        <v>8</v>
      </c>
      <c r="N3" s="20" t="s">
        <v>8</v>
      </c>
      <c r="O3" s="11" t="s">
        <v>17</v>
      </c>
      <c r="P3" s="4">
        <v>8.9444444444444446</v>
      </c>
    </row>
    <row r="4" spans="1:16" s="5" customFormat="1" ht="42" customHeight="1">
      <c r="A4" s="2">
        <v>2</v>
      </c>
      <c r="B4" s="12">
        <v>2544640201</v>
      </c>
      <c r="C4" s="21">
        <v>250371613003</v>
      </c>
      <c r="D4" s="22" t="s">
        <v>1316</v>
      </c>
      <c r="E4" s="12" t="s">
        <v>28</v>
      </c>
      <c r="F4" s="14" t="s">
        <v>15</v>
      </c>
      <c r="G4" s="19" t="s">
        <v>85</v>
      </c>
      <c r="H4" s="20" t="s">
        <v>3</v>
      </c>
      <c r="I4" s="20" t="s">
        <v>2</v>
      </c>
      <c r="J4" s="20" t="s">
        <v>3</v>
      </c>
      <c r="K4" s="20" t="s">
        <v>2</v>
      </c>
      <c r="L4" s="20" t="s">
        <v>8</v>
      </c>
      <c r="M4" s="20" t="s">
        <v>2</v>
      </c>
      <c r="N4" s="20" t="s">
        <v>8</v>
      </c>
      <c r="O4" s="11" t="s">
        <v>17</v>
      </c>
      <c r="P4" s="4">
        <v>8.8333333333333339</v>
      </c>
    </row>
    <row r="5" spans="1:16" s="5" customFormat="1" ht="42" customHeight="1">
      <c r="A5" s="2">
        <v>3</v>
      </c>
      <c r="B5" s="12">
        <v>2544640979</v>
      </c>
      <c r="C5" s="21">
        <v>250371613005</v>
      </c>
      <c r="D5" s="22" t="s">
        <v>1317</v>
      </c>
      <c r="E5" s="12" t="s">
        <v>28</v>
      </c>
      <c r="F5" s="14" t="s">
        <v>15</v>
      </c>
      <c r="G5" s="19" t="s">
        <v>85</v>
      </c>
      <c r="H5" s="20" t="s">
        <v>4</v>
      </c>
      <c r="I5" s="20" t="s">
        <v>4</v>
      </c>
      <c r="J5" s="20" t="s">
        <v>5</v>
      </c>
      <c r="K5" s="20" t="s">
        <v>5</v>
      </c>
      <c r="L5" s="20" t="s">
        <v>5</v>
      </c>
      <c r="M5" s="20" t="s">
        <v>3</v>
      </c>
      <c r="N5" s="20" t="s">
        <v>2</v>
      </c>
      <c r="O5" s="11" t="s">
        <v>17</v>
      </c>
      <c r="P5" s="4">
        <v>6.6111111111111107</v>
      </c>
    </row>
    <row r="6" spans="1:16" s="5" customFormat="1" ht="42" customHeight="1">
      <c r="A6" s="2">
        <v>4</v>
      </c>
      <c r="B6" s="12">
        <v>2544640219</v>
      </c>
      <c r="C6" s="21">
        <v>250371613007</v>
      </c>
      <c r="D6" s="22" t="s">
        <v>1318</v>
      </c>
      <c r="E6" s="12" t="s">
        <v>28</v>
      </c>
      <c r="F6" s="14" t="s">
        <v>15</v>
      </c>
      <c r="G6" s="19" t="s">
        <v>85</v>
      </c>
      <c r="H6" s="20" t="s">
        <v>3</v>
      </c>
      <c r="I6" s="20" t="s">
        <v>3</v>
      </c>
      <c r="J6" s="20" t="s">
        <v>2</v>
      </c>
      <c r="K6" s="20" t="s">
        <v>2</v>
      </c>
      <c r="L6" s="20" t="s">
        <v>8</v>
      </c>
      <c r="M6" s="20" t="s">
        <v>8</v>
      </c>
      <c r="N6" s="20" t="s">
        <v>8</v>
      </c>
      <c r="O6" s="11" t="s">
        <v>17</v>
      </c>
      <c r="P6" s="4">
        <v>8.9444444444444446</v>
      </c>
    </row>
    <row r="7" spans="1:16" s="5" customFormat="1" ht="42" customHeight="1">
      <c r="A7" s="2">
        <v>5</v>
      </c>
      <c r="B7" s="12">
        <v>2544640629</v>
      </c>
      <c r="C7" s="21">
        <v>250371613011</v>
      </c>
      <c r="D7" s="22" t="s">
        <v>1319</v>
      </c>
      <c r="E7" s="12" t="s">
        <v>28</v>
      </c>
      <c r="F7" s="14" t="s">
        <v>15</v>
      </c>
      <c r="G7" s="19" t="s">
        <v>85</v>
      </c>
      <c r="H7" s="20" t="s">
        <v>4</v>
      </c>
      <c r="I7" s="20" t="s">
        <v>4</v>
      </c>
      <c r="J7" s="20" t="s">
        <v>4</v>
      </c>
      <c r="K7" s="20" t="s">
        <v>4</v>
      </c>
      <c r="L7" s="20" t="s">
        <v>2</v>
      </c>
      <c r="M7" s="20" t="s">
        <v>4</v>
      </c>
      <c r="N7" s="20" t="s">
        <v>2</v>
      </c>
      <c r="O7" s="11" t="s">
        <v>17</v>
      </c>
      <c r="P7" s="4">
        <v>7.4444444444444446</v>
      </c>
    </row>
    <row r="8" spans="1:16" s="5" customFormat="1" ht="42" customHeight="1">
      <c r="A8" s="2">
        <v>6</v>
      </c>
      <c r="B8" s="12">
        <v>2544640393</v>
      </c>
      <c r="C8" s="21">
        <v>250371613017</v>
      </c>
      <c r="D8" s="22" t="s">
        <v>1320</v>
      </c>
      <c r="E8" s="12" t="s">
        <v>28</v>
      </c>
      <c r="F8" s="14" t="s">
        <v>15</v>
      </c>
      <c r="G8" s="19" t="s">
        <v>85</v>
      </c>
      <c r="H8" s="20" t="s">
        <v>4</v>
      </c>
      <c r="I8" s="20" t="s">
        <v>3</v>
      </c>
      <c r="J8" s="20" t="s">
        <v>2</v>
      </c>
      <c r="K8" s="20" t="s">
        <v>2</v>
      </c>
      <c r="L8" s="20" t="s">
        <v>2</v>
      </c>
      <c r="M8" s="20" t="s">
        <v>2</v>
      </c>
      <c r="N8" s="20" t="s">
        <v>2</v>
      </c>
      <c r="O8" s="11" t="s">
        <v>17</v>
      </c>
      <c r="P8" s="4">
        <v>8.5</v>
      </c>
    </row>
    <row r="9" spans="1:16" s="5" customFormat="1" ht="42" customHeight="1">
      <c r="A9" s="2">
        <v>7</v>
      </c>
      <c r="B9" s="12">
        <v>2544640367</v>
      </c>
      <c r="C9" s="21">
        <v>250371613020</v>
      </c>
      <c r="D9" s="22" t="s">
        <v>1321</v>
      </c>
      <c r="E9" s="12" t="s">
        <v>28</v>
      </c>
      <c r="F9" s="14" t="s">
        <v>15</v>
      </c>
      <c r="G9" s="19" t="s">
        <v>85</v>
      </c>
      <c r="H9" s="20" t="s">
        <v>4</v>
      </c>
      <c r="I9" s="20" t="s">
        <v>2</v>
      </c>
      <c r="J9" s="20" t="s">
        <v>2</v>
      </c>
      <c r="K9" s="20" t="s">
        <v>4</v>
      </c>
      <c r="L9" s="20" t="s">
        <v>8</v>
      </c>
      <c r="M9" s="20" t="s">
        <v>2</v>
      </c>
      <c r="N9" s="20" t="s">
        <v>8</v>
      </c>
      <c r="O9" s="11" t="s">
        <v>17</v>
      </c>
      <c r="P9" s="4">
        <v>8.5555555555555554</v>
      </c>
    </row>
    <row r="10" spans="1:16" s="5" customFormat="1" ht="42" customHeight="1">
      <c r="A10" s="2">
        <v>8</v>
      </c>
      <c r="B10" s="12">
        <v>2544640644</v>
      </c>
      <c r="C10" s="21">
        <v>250371613030</v>
      </c>
      <c r="D10" s="22" t="s">
        <v>1322</v>
      </c>
      <c r="E10" s="12" t="s">
        <v>28</v>
      </c>
      <c r="F10" s="14" t="s">
        <v>15</v>
      </c>
      <c r="G10" s="19" t="s">
        <v>85</v>
      </c>
      <c r="H10" s="20" t="s">
        <v>3</v>
      </c>
      <c r="I10" s="20" t="s">
        <v>2</v>
      </c>
      <c r="J10" s="20" t="s">
        <v>2</v>
      </c>
      <c r="K10" s="20" t="s">
        <v>3</v>
      </c>
      <c r="L10" s="20" t="s">
        <v>8</v>
      </c>
      <c r="M10" s="20" t="s">
        <v>2</v>
      </c>
      <c r="N10" s="20" t="s">
        <v>8</v>
      </c>
      <c r="O10" s="11" t="s">
        <v>17</v>
      </c>
      <c r="P10" s="4">
        <v>8.8888888888888893</v>
      </c>
    </row>
    <row r="11" spans="1:16" s="5" customFormat="1" ht="42" customHeight="1">
      <c r="A11" s="2">
        <v>9</v>
      </c>
      <c r="B11" s="12">
        <v>2544640488</v>
      </c>
      <c r="C11" s="21">
        <v>250371613031</v>
      </c>
      <c r="D11" s="22" t="s">
        <v>1323</v>
      </c>
      <c r="E11" s="12" t="s">
        <v>28</v>
      </c>
      <c r="F11" s="14" t="s">
        <v>15</v>
      </c>
      <c r="G11" s="19" t="s">
        <v>85</v>
      </c>
      <c r="H11" s="20" t="s">
        <v>2</v>
      </c>
      <c r="I11" s="20" t="s">
        <v>2</v>
      </c>
      <c r="J11" s="20" t="s">
        <v>8</v>
      </c>
      <c r="K11" s="20" t="s">
        <v>2</v>
      </c>
      <c r="L11" s="20" t="s">
        <v>8</v>
      </c>
      <c r="M11" s="20" t="s">
        <v>2</v>
      </c>
      <c r="N11" s="20" t="s">
        <v>8</v>
      </c>
      <c r="O11" s="11" t="s">
        <v>17</v>
      </c>
      <c r="P11" s="4">
        <v>9.4444444444444446</v>
      </c>
    </row>
    <row r="12" spans="1:16" s="5" customFormat="1" ht="42" customHeight="1">
      <c r="A12" s="2">
        <v>10</v>
      </c>
      <c r="B12" s="12">
        <v>2544640786</v>
      </c>
      <c r="C12" s="21">
        <v>250371613033</v>
      </c>
      <c r="D12" s="22" t="s">
        <v>1324</v>
      </c>
      <c r="E12" s="12" t="s">
        <v>28</v>
      </c>
      <c r="F12" s="14" t="s">
        <v>15</v>
      </c>
      <c r="G12" s="19" t="s">
        <v>85</v>
      </c>
      <c r="H12" s="20" t="s">
        <v>4</v>
      </c>
      <c r="I12" s="20" t="s">
        <v>8</v>
      </c>
      <c r="J12" s="20" t="s">
        <v>8</v>
      </c>
      <c r="K12" s="20" t="s">
        <v>2</v>
      </c>
      <c r="L12" s="20" t="s">
        <v>2</v>
      </c>
      <c r="M12" s="20" t="s">
        <v>8</v>
      </c>
      <c r="N12" s="20" t="s">
        <v>8</v>
      </c>
      <c r="O12" s="11" t="s">
        <v>17</v>
      </c>
      <c r="P12" s="4">
        <v>9.1666666666666661</v>
      </c>
    </row>
    <row r="13" spans="1:16" s="5" customFormat="1" ht="42" customHeight="1">
      <c r="A13" s="2">
        <v>11</v>
      </c>
      <c r="B13" s="12">
        <v>2544640591</v>
      </c>
      <c r="C13" s="21">
        <v>250371613034</v>
      </c>
      <c r="D13" s="22" t="s">
        <v>1325</v>
      </c>
      <c r="E13" s="12" t="s">
        <v>28</v>
      </c>
      <c r="F13" s="14" t="s">
        <v>15</v>
      </c>
      <c r="G13" s="19" t="s">
        <v>85</v>
      </c>
      <c r="H13" s="20" t="s">
        <v>4</v>
      </c>
      <c r="I13" s="20" t="s">
        <v>2</v>
      </c>
      <c r="J13" s="20" t="s">
        <v>2</v>
      </c>
      <c r="K13" s="20" t="s">
        <v>4</v>
      </c>
      <c r="L13" s="20" t="s">
        <v>8</v>
      </c>
      <c r="M13" s="20" t="s">
        <v>5</v>
      </c>
      <c r="N13" s="20" t="s">
        <v>2</v>
      </c>
      <c r="O13" s="11" t="s">
        <v>17</v>
      </c>
      <c r="P13" s="4">
        <v>8.3333333333333339</v>
      </c>
    </row>
    <row r="14" spans="1:16" s="5" customFormat="1" ht="42" customHeight="1">
      <c r="A14" s="2">
        <v>12</v>
      </c>
      <c r="B14" s="12">
        <v>2544640442</v>
      </c>
      <c r="C14" s="21">
        <v>250371613035</v>
      </c>
      <c r="D14" s="22" t="s">
        <v>1326</v>
      </c>
      <c r="E14" s="12" t="s">
        <v>28</v>
      </c>
      <c r="F14" s="14" t="s">
        <v>15</v>
      </c>
      <c r="G14" s="19" t="s">
        <v>85</v>
      </c>
      <c r="H14" s="20" t="s">
        <v>4</v>
      </c>
      <c r="I14" s="20" t="s">
        <v>3</v>
      </c>
      <c r="J14" s="20" t="s">
        <v>3</v>
      </c>
      <c r="K14" s="20" t="s">
        <v>4</v>
      </c>
      <c r="L14" s="20" t="s">
        <v>2</v>
      </c>
      <c r="M14" s="20" t="s">
        <v>3</v>
      </c>
      <c r="N14" s="20" t="s">
        <v>2</v>
      </c>
      <c r="O14" s="11" t="s">
        <v>17</v>
      </c>
      <c r="P14" s="4">
        <v>7.8888888888888893</v>
      </c>
    </row>
    <row r="15" spans="1:16" s="5" customFormat="1" ht="42" customHeight="1">
      <c r="A15" s="2">
        <v>13</v>
      </c>
      <c r="B15" s="12">
        <v>2544640981</v>
      </c>
      <c r="C15" s="21">
        <v>250371613037</v>
      </c>
      <c r="D15" s="22" t="s">
        <v>1327</v>
      </c>
      <c r="E15" s="12" t="s">
        <v>28</v>
      </c>
      <c r="F15" s="14" t="s">
        <v>15</v>
      </c>
      <c r="G15" s="19" t="s">
        <v>85</v>
      </c>
      <c r="H15" s="20" t="s">
        <v>2</v>
      </c>
      <c r="I15" s="20" t="s">
        <v>2</v>
      </c>
      <c r="J15" s="20" t="s">
        <v>2</v>
      </c>
      <c r="K15" s="20" t="s">
        <v>4</v>
      </c>
      <c r="L15" s="20" t="s">
        <v>2</v>
      </c>
      <c r="M15" s="20" t="s">
        <v>8</v>
      </c>
      <c r="N15" s="20" t="s">
        <v>8</v>
      </c>
      <c r="O15" s="11" t="s">
        <v>17</v>
      </c>
      <c r="P15" s="4">
        <v>8.7777777777777786</v>
      </c>
    </row>
    <row r="16" spans="1:16" s="5" customFormat="1" ht="42" customHeight="1">
      <c r="A16" s="2">
        <v>14</v>
      </c>
      <c r="B16" s="12">
        <v>2544640671</v>
      </c>
      <c r="C16" s="21">
        <v>250371613042</v>
      </c>
      <c r="D16" s="22" t="s">
        <v>1328</v>
      </c>
      <c r="E16" s="12" t="s">
        <v>28</v>
      </c>
      <c r="F16" s="14" t="s">
        <v>15</v>
      </c>
      <c r="G16" s="19" t="s">
        <v>85</v>
      </c>
      <c r="H16" s="20" t="s">
        <v>5</v>
      </c>
      <c r="I16" s="20" t="s">
        <v>4</v>
      </c>
      <c r="J16" s="20" t="s">
        <v>2</v>
      </c>
      <c r="K16" s="20" t="s">
        <v>5</v>
      </c>
      <c r="L16" s="20" t="s">
        <v>3</v>
      </c>
      <c r="M16" s="20" t="s">
        <v>3</v>
      </c>
      <c r="N16" s="20" t="s">
        <v>8</v>
      </c>
      <c r="O16" s="11" t="s">
        <v>17</v>
      </c>
      <c r="P16" s="4">
        <v>7.5</v>
      </c>
    </row>
    <row r="17" spans="1:16" s="5" customFormat="1" ht="42" customHeight="1">
      <c r="A17" s="2">
        <v>15</v>
      </c>
      <c r="B17" s="12">
        <v>2544640645</v>
      </c>
      <c r="C17" s="21">
        <v>250371613044</v>
      </c>
      <c r="D17" s="22" t="s">
        <v>1329</v>
      </c>
      <c r="E17" s="12" t="s">
        <v>28</v>
      </c>
      <c r="F17" s="14" t="s">
        <v>15</v>
      </c>
      <c r="G17" s="19" t="s">
        <v>85</v>
      </c>
      <c r="H17" s="20" t="s">
        <v>4</v>
      </c>
      <c r="I17" s="20" t="s">
        <v>4</v>
      </c>
      <c r="J17" s="20" t="s">
        <v>2</v>
      </c>
      <c r="K17" s="20" t="s">
        <v>3</v>
      </c>
      <c r="L17" s="20" t="s">
        <v>3</v>
      </c>
      <c r="M17" s="20" t="s">
        <v>2</v>
      </c>
      <c r="N17" s="20" t="s">
        <v>2</v>
      </c>
      <c r="O17" s="11" t="s">
        <v>17</v>
      </c>
      <c r="P17" s="4">
        <v>8</v>
      </c>
    </row>
    <row r="18" spans="1:16" s="5" customFormat="1" ht="42" customHeight="1">
      <c r="A18" s="2">
        <v>16</v>
      </c>
      <c r="B18" s="12">
        <v>2544640885</v>
      </c>
      <c r="C18" s="21">
        <v>250371613045</v>
      </c>
      <c r="D18" s="22" t="s">
        <v>1330</v>
      </c>
      <c r="E18" s="12" t="s">
        <v>28</v>
      </c>
      <c r="F18" s="14" t="s">
        <v>15</v>
      </c>
      <c r="G18" s="19" t="s">
        <v>85</v>
      </c>
      <c r="H18" s="20" t="s">
        <v>5</v>
      </c>
      <c r="I18" s="20" t="s">
        <v>4</v>
      </c>
      <c r="J18" s="20" t="s">
        <v>5</v>
      </c>
      <c r="K18" s="20" t="s">
        <v>2</v>
      </c>
      <c r="L18" s="20" t="s">
        <v>3</v>
      </c>
      <c r="M18" s="20" t="s">
        <v>3</v>
      </c>
      <c r="N18" s="20" t="s">
        <v>8</v>
      </c>
      <c r="O18" s="11" t="s">
        <v>17</v>
      </c>
      <c r="P18" s="4">
        <v>7.333333333333333</v>
      </c>
    </row>
    <row r="19" spans="1:16" s="5" customFormat="1" ht="42" customHeight="1">
      <c r="A19" s="2">
        <v>17</v>
      </c>
      <c r="B19" s="12">
        <v>2544640921</v>
      </c>
      <c r="C19" s="21">
        <v>250371613046</v>
      </c>
      <c r="D19" s="22" t="s">
        <v>1331</v>
      </c>
      <c r="E19" s="12" t="s">
        <v>28</v>
      </c>
      <c r="F19" s="14" t="s">
        <v>15</v>
      </c>
      <c r="G19" s="19" t="s">
        <v>85</v>
      </c>
      <c r="H19" s="20" t="s">
        <v>5</v>
      </c>
      <c r="I19" s="20" t="s">
        <v>2</v>
      </c>
      <c r="J19" s="20" t="s">
        <v>5</v>
      </c>
      <c r="K19" s="20" t="s">
        <v>3</v>
      </c>
      <c r="L19" s="20" t="s">
        <v>2</v>
      </c>
      <c r="M19" s="20" t="s">
        <v>3</v>
      </c>
      <c r="N19" s="20" t="s">
        <v>2</v>
      </c>
      <c r="O19" s="11" t="s">
        <v>17</v>
      </c>
      <c r="P19" s="4">
        <v>7.6111111111111107</v>
      </c>
    </row>
    <row r="20" spans="1:16" s="5" customFormat="1" ht="42" customHeight="1">
      <c r="A20" s="2">
        <v>18</v>
      </c>
      <c r="B20" s="12">
        <v>2544640877</v>
      </c>
      <c r="C20" s="21">
        <v>250371613048</v>
      </c>
      <c r="D20" s="22" t="s">
        <v>1332</v>
      </c>
      <c r="E20" s="12" t="s">
        <v>28</v>
      </c>
      <c r="F20" s="14" t="s">
        <v>15</v>
      </c>
      <c r="G20" s="19" t="s">
        <v>85</v>
      </c>
      <c r="H20" s="20" t="s">
        <v>2</v>
      </c>
      <c r="I20" s="20" t="s">
        <v>3</v>
      </c>
      <c r="J20" s="20" t="s">
        <v>4</v>
      </c>
      <c r="K20" s="20" t="s">
        <v>3</v>
      </c>
      <c r="L20" s="20" t="s">
        <v>3</v>
      </c>
      <c r="M20" s="20" t="s">
        <v>2</v>
      </c>
      <c r="N20" s="20" t="s">
        <v>8</v>
      </c>
      <c r="O20" s="11" t="s">
        <v>17</v>
      </c>
      <c r="P20" s="4">
        <v>8.1111111111111107</v>
      </c>
    </row>
    <row r="21" spans="1:16" s="5" customFormat="1" ht="42" customHeight="1">
      <c r="A21" s="2">
        <v>19</v>
      </c>
      <c r="B21" s="12">
        <v>2544640678</v>
      </c>
      <c r="C21" s="21">
        <v>250371613051</v>
      </c>
      <c r="D21" s="22" t="s">
        <v>1333</v>
      </c>
      <c r="E21" s="12" t="s">
        <v>28</v>
      </c>
      <c r="F21" s="14" t="s">
        <v>15</v>
      </c>
      <c r="G21" s="19" t="s">
        <v>85</v>
      </c>
      <c r="H21" s="20" t="s">
        <v>4</v>
      </c>
      <c r="I21" s="20" t="s">
        <v>2</v>
      </c>
      <c r="J21" s="20" t="s">
        <v>5</v>
      </c>
      <c r="K21" s="20" t="s">
        <v>3</v>
      </c>
      <c r="L21" s="20" t="s">
        <v>3</v>
      </c>
      <c r="M21" s="20" t="s">
        <v>3</v>
      </c>
      <c r="N21" s="20" t="s">
        <v>8</v>
      </c>
      <c r="O21" s="11" t="s">
        <v>17</v>
      </c>
      <c r="P21" s="4">
        <v>7.666666666666667</v>
      </c>
    </row>
    <row r="22" spans="1:16" s="5" customFormat="1" ht="42" customHeight="1">
      <c r="A22" s="2">
        <v>20</v>
      </c>
      <c r="B22" s="12">
        <v>2544640135</v>
      </c>
      <c r="C22" s="21">
        <v>250371613052</v>
      </c>
      <c r="D22" s="22" t="s">
        <v>1334</v>
      </c>
      <c r="E22" s="12" t="s">
        <v>28</v>
      </c>
      <c r="F22" s="14" t="s">
        <v>15</v>
      </c>
      <c r="G22" s="19" t="s">
        <v>85</v>
      </c>
      <c r="H22" s="20" t="s">
        <v>4</v>
      </c>
      <c r="I22" s="20" t="s">
        <v>3</v>
      </c>
      <c r="J22" s="20" t="s">
        <v>5</v>
      </c>
      <c r="K22" s="20" t="s">
        <v>3</v>
      </c>
      <c r="L22" s="20" t="s">
        <v>3</v>
      </c>
      <c r="M22" s="20" t="s">
        <v>8</v>
      </c>
      <c r="N22" s="20" t="s">
        <v>2</v>
      </c>
      <c r="O22" s="11" t="s">
        <v>17</v>
      </c>
      <c r="P22" s="4">
        <v>7.5555555555555554</v>
      </c>
    </row>
    <row r="23" spans="1:16" s="5" customFormat="1" ht="42" customHeight="1">
      <c r="A23" s="2">
        <v>21</v>
      </c>
      <c r="B23" s="12">
        <v>2544640636</v>
      </c>
      <c r="C23" s="21">
        <v>250371613054</v>
      </c>
      <c r="D23" s="22" t="s">
        <v>1335</v>
      </c>
      <c r="E23" s="12" t="s">
        <v>28</v>
      </c>
      <c r="F23" s="14" t="s">
        <v>15</v>
      </c>
      <c r="G23" s="19" t="s">
        <v>85</v>
      </c>
      <c r="H23" s="20" t="s">
        <v>2</v>
      </c>
      <c r="I23" s="20" t="s">
        <v>8</v>
      </c>
      <c r="J23" s="20" t="s">
        <v>3</v>
      </c>
      <c r="K23" s="20" t="s">
        <v>2</v>
      </c>
      <c r="L23" s="20" t="s">
        <v>8</v>
      </c>
      <c r="M23" s="20" t="s">
        <v>8</v>
      </c>
      <c r="N23" s="20" t="s">
        <v>8</v>
      </c>
      <c r="O23" s="11" t="s">
        <v>17</v>
      </c>
      <c r="P23" s="4">
        <v>9.2222222222222214</v>
      </c>
    </row>
    <row r="24" spans="1:16" s="5" customFormat="1" ht="42" customHeight="1">
      <c r="A24" s="2">
        <v>22</v>
      </c>
      <c r="B24" s="12">
        <v>2544641015</v>
      </c>
      <c r="C24" s="21">
        <v>250371613055</v>
      </c>
      <c r="D24" s="22" t="s">
        <v>1336</v>
      </c>
      <c r="E24" s="12" t="s">
        <v>28</v>
      </c>
      <c r="F24" s="14" t="s">
        <v>15</v>
      </c>
      <c r="G24" s="19" t="s">
        <v>85</v>
      </c>
      <c r="H24" s="20" t="s">
        <v>3</v>
      </c>
      <c r="I24" s="20" t="s">
        <v>4</v>
      </c>
      <c r="J24" s="20" t="s">
        <v>3</v>
      </c>
      <c r="K24" s="20" t="s">
        <v>8</v>
      </c>
      <c r="L24" s="20" t="s">
        <v>8</v>
      </c>
      <c r="M24" s="20" t="s">
        <v>8</v>
      </c>
      <c r="N24" s="20" t="s">
        <v>8</v>
      </c>
      <c r="O24" s="11" t="s">
        <v>17</v>
      </c>
      <c r="P24" s="4">
        <v>8.7222222222222214</v>
      </c>
    </row>
    <row r="25" spans="1:16" s="5" customFormat="1" ht="42" customHeight="1">
      <c r="A25" s="2">
        <v>23</v>
      </c>
      <c r="B25" s="12">
        <v>2544640816</v>
      </c>
      <c r="C25" s="21">
        <v>250371613056</v>
      </c>
      <c r="D25" s="22" t="s">
        <v>1337</v>
      </c>
      <c r="E25" s="12" t="s">
        <v>28</v>
      </c>
      <c r="F25" s="14" t="s">
        <v>15</v>
      </c>
      <c r="G25" s="19" t="s">
        <v>85</v>
      </c>
      <c r="H25" s="20" t="s">
        <v>3</v>
      </c>
      <c r="I25" s="20" t="s">
        <v>8</v>
      </c>
      <c r="J25" s="20" t="s">
        <v>8</v>
      </c>
      <c r="K25" s="20" t="s">
        <v>8</v>
      </c>
      <c r="L25" s="20" t="s">
        <v>8</v>
      </c>
      <c r="M25" s="20" t="s">
        <v>8</v>
      </c>
      <c r="N25" s="20" t="s">
        <v>8</v>
      </c>
      <c r="O25" s="11" t="s">
        <v>17</v>
      </c>
      <c r="P25" s="4">
        <v>9.6666666666666661</v>
      </c>
    </row>
    <row r="26" spans="1:16" s="5" customFormat="1" ht="42" customHeight="1">
      <c r="A26" s="2">
        <v>24</v>
      </c>
      <c r="B26" s="12">
        <v>2544640112</v>
      </c>
      <c r="C26" s="21">
        <v>250371613059</v>
      </c>
      <c r="D26" s="22" t="s">
        <v>1338</v>
      </c>
      <c r="E26" s="12" t="s">
        <v>28</v>
      </c>
      <c r="F26" s="14" t="s">
        <v>15</v>
      </c>
      <c r="G26" s="19" t="s">
        <v>85</v>
      </c>
      <c r="H26" s="20" t="s">
        <v>2</v>
      </c>
      <c r="I26" s="20" t="s">
        <v>2</v>
      </c>
      <c r="J26" s="20" t="s">
        <v>8</v>
      </c>
      <c r="K26" s="20" t="s">
        <v>8</v>
      </c>
      <c r="L26" s="20" t="s">
        <v>8</v>
      </c>
      <c r="M26" s="20" t="s">
        <v>8</v>
      </c>
      <c r="N26" s="20" t="s">
        <v>8</v>
      </c>
      <c r="O26" s="11" t="s">
        <v>17</v>
      </c>
      <c r="P26" s="4">
        <v>9.6666666666666661</v>
      </c>
    </row>
    <row r="27" spans="1:16" s="5" customFormat="1" ht="42" customHeight="1">
      <c r="A27" s="2">
        <v>25</v>
      </c>
      <c r="B27" s="12">
        <v>2544641053</v>
      </c>
      <c r="C27" s="21">
        <v>250371613066</v>
      </c>
      <c r="D27" s="22" t="s">
        <v>1339</v>
      </c>
      <c r="E27" s="12" t="s">
        <v>28</v>
      </c>
      <c r="F27" s="14" t="s">
        <v>15</v>
      </c>
      <c r="G27" s="19" t="s">
        <v>85</v>
      </c>
      <c r="H27" s="20" t="s">
        <v>4</v>
      </c>
      <c r="I27" s="20" t="s">
        <v>3</v>
      </c>
      <c r="J27" s="20" t="s">
        <v>3</v>
      </c>
      <c r="K27" s="20" t="s">
        <v>3</v>
      </c>
      <c r="L27" s="20" t="s">
        <v>8</v>
      </c>
      <c r="M27" s="20" t="s">
        <v>8</v>
      </c>
      <c r="N27" s="20" t="s">
        <v>8</v>
      </c>
      <c r="O27" s="11" t="s">
        <v>17</v>
      </c>
      <c r="P27" s="4">
        <v>8.3888888888888893</v>
      </c>
    </row>
    <row r="28" spans="1:16" s="5" customFormat="1" ht="42" customHeight="1">
      <c r="A28" s="2">
        <v>26</v>
      </c>
      <c r="B28" s="12">
        <v>2544640062</v>
      </c>
      <c r="C28" s="21">
        <v>250371613067</v>
      </c>
      <c r="D28" s="22" t="s">
        <v>1340</v>
      </c>
      <c r="E28" s="12" t="s">
        <v>28</v>
      </c>
      <c r="F28" s="14" t="s">
        <v>15</v>
      </c>
      <c r="G28" s="19" t="s">
        <v>85</v>
      </c>
      <c r="H28" s="20" t="s">
        <v>2</v>
      </c>
      <c r="I28" s="20" t="s">
        <v>8</v>
      </c>
      <c r="J28" s="20" t="s">
        <v>8</v>
      </c>
      <c r="K28" s="20" t="s">
        <v>2</v>
      </c>
      <c r="L28" s="20" t="s">
        <v>8</v>
      </c>
      <c r="M28" s="20" t="s">
        <v>8</v>
      </c>
      <c r="N28" s="20" t="s">
        <v>8</v>
      </c>
      <c r="O28" s="11" t="s">
        <v>17</v>
      </c>
      <c r="P28" s="4">
        <v>9.6666666666666661</v>
      </c>
    </row>
    <row r="29" spans="1:16" s="5" customFormat="1" ht="42" customHeight="1">
      <c r="A29" s="2">
        <v>27</v>
      </c>
      <c r="B29" s="12">
        <v>2544640486</v>
      </c>
      <c r="C29" s="21">
        <v>250371613071</v>
      </c>
      <c r="D29" s="22" t="s">
        <v>1341</v>
      </c>
      <c r="E29" s="12" t="s">
        <v>28</v>
      </c>
      <c r="F29" s="14" t="s">
        <v>15</v>
      </c>
      <c r="G29" s="19" t="s">
        <v>85</v>
      </c>
      <c r="H29" s="20" t="s">
        <v>3</v>
      </c>
      <c r="I29" s="20" t="s">
        <v>2</v>
      </c>
      <c r="J29" s="20" t="s">
        <v>8</v>
      </c>
      <c r="K29" s="20" t="s">
        <v>8</v>
      </c>
      <c r="L29" s="20" t="s">
        <v>8</v>
      </c>
      <c r="M29" s="20" t="s">
        <v>8</v>
      </c>
      <c r="N29" s="20" t="s">
        <v>8</v>
      </c>
      <c r="O29" s="11" t="s">
        <v>17</v>
      </c>
      <c r="P29" s="4">
        <v>9.5</v>
      </c>
    </row>
    <row r="30" spans="1:16" s="5" customFormat="1" ht="42" customHeight="1">
      <c r="A30" s="2">
        <v>28</v>
      </c>
      <c r="B30" s="12">
        <v>2544640767</v>
      </c>
      <c r="C30" s="21">
        <v>250371613072</v>
      </c>
      <c r="D30" s="22" t="s">
        <v>1342</v>
      </c>
      <c r="E30" s="12" t="s">
        <v>28</v>
      </c>
      <c r="F30" s="14" t="s">
        <v>15</v>
      </c>
      <c r="G30" s="19" t="s">
        <v>85</v>
      </c>
      <c r="H30" s="20" t="s">
        <v>3</v>
      </c>
      <c r="I30" s="20" t="s">
        <v>2</v>
      </c>
      <c r="J30" s="20" t="s">
        <v>8</v>
      </c>
      <c r="K30" s="20" t="s">
        <v>8</v>
      </c>
      <c r="L30" s="20" t="s">
        <v>8</v>
      </c>
      <c r="M30" s="20" t="s">
        <v>8</v>
      </c>
      <c r="N30" s="20" t="s">
        <v>8</v>
      </c>
      <c r="O30" s="11" t="s">
        <v>17</v>
      </c>
      <c r="P30" s="4">
        <v>9.5</v>
      </c>
    </row>
    <row r="31" spans="1:16" s="5" customFormat="1" ht="42" customHeight="1">
      <c r="A31" s="2">
        <v>29</v>
      </c>
      <c r="B31" s="12">
        <v>2544640879</v>
      </c>
      <c r="C31" s="21">
        <v>250371613073</v>
      </c>
      <c r="D31" s="22" t="s">
        <v>1343</v>
      </c>
      <c r="E31" s="12" t="s">
        <v>28</v>
      </c>
      <c r="F31" s="14" t="s">
        <v>15</v>
      </c>
      <c r="G31" s="19" t="s">
        <v>85</v>
      </c>
      <c r="H31" s="20" t="s">
        <v>2</v>
      </c>
      <c r="I31" s="20" t="s">
        <v>2</v>
      </c>
      <c r="J31" s="20" t="s">
        <v>2</v>
      </c>
      <c r="K31" s="20" t="s">
        <v>2</v>
      </c>
      <c r="L31" s="20" t="s">
        <v>8</v>
      </c>
      <c r="M31" s="20" t="s">
        <v>2</v>
      </c>
      <c r="N31" s="20" t="s">
        <v>8</v>
      </c>
      <c r="O31" s="11" t="s">
        <v>17</v>
      </c>
      <c r="P31" s="4">
        <v>9.2222222222222214</v>
      </c>
    </row>
    <row r="32" spans="1:16" s="5" customFormat="1" ht="42" customHeight="1">
      <c r="A32" s="2">
        <v>30</v>
      </c>
      <c r="B32" s="12">
        <v>2544640646</v>
      </c>
      <c r="C32" s="21">
        <v>250371613074</v>
      </c>
      <c r="D32" s="22" t="s">
        <v>1344</v>
      </c>
      <c r="E32" s="12" t="s">
        <v>28</v>
      </c>
      <c r="F32" s="14" t="s">
        <v>15</v>
      </c>
      <c r="G32" s="19" t="s">
        <v>85</v>
      </c>
      <c r="H32" s="20" t="s">
        <v>4</v>
      </c>
      <c r="I32" s="20" t="s">
        <v>4</v>
      </c>
      <c r="J32" s="20" t="s">
        <v>3</v>
      </c>
      <c r="K32" s="20" t="s">
        <v>3</v>
      </c>
      <c r="L32" s="20" t="s">
        <v>2</v>
      </c>
      <c r="M32" s="20" t="s">
        <v>3</v>
      </c>
      <c r="N32" s="20" t="s">
        <v>8</v>
      </c>
      <c r="O32" s="11" t="s">
        <v>17</v>
      </c>
      <c r="P32" s="4">
        <v>7.9444444444444446</v>
      </c>
    </row>
    <row r="33" spans="1:16" s="5" customFormat="1" ht="42" customHeight="1">
      <c r="A33" s="2">
        <v>31</v>
      </c>
      <c r="B33" s="12">
        <v>2544640990</v>
      </c>
      <c r="C33" s="21">
        <v>250371613075</v>
      </c>
      <c r="D33" s="22" t="s">
        <v>1345</v>
      </c>
      <c r="E33" s="12" t="s">
        <v>28</v>
      </c>
      <c r="F33" s="14" t="s">
        <v>15</v>
      </c>
      <c r="G33" s="19" t="s">
        <v>85</v>
      </c>
      <c r="H33" s="20" t="s">
        <v>2</v>
      </c>
      <c r="I33" s="20" t="s">
        <v>2</v>
      </c>
      <c r="J33" s="20" t="s">
        <v>4</v>
      </c>
      <c r="K33" s="20" t="s">
        <v>8</v>
      </c>
      <c r="L33" s="20" t="s">
        <v>8</v>
      </c>
      <c r="M33" s="20" t="s">
        <v>8</v>
      </c>
      <c r="N33" s="20" t="s">
        <v>8</v>
      </c>
      <c r="O33" s="11" t="s">
        <v>17</v>
      </c>
      <c r="P33" s="4">
        <v>9</v>
      </c>
    </row>
    <row r="34" spans="1:16" s="5" customFormat="1" ht="42" customHeight="1">
      <c r="A34" s="2">
        <v>32</v>
      </c>
      <c r="B34" s="12">
        <v>2544640978</v>
      </c>
      <c r="C34" s="21">
        <v>250371613083</v>
      </c>
      <c r="D34" s="22" t="s">
        <v>1346</v>
      </c>
      <c r="E34" s="12" t="s">
        <v>28</v>
      </c>
      <c r="F34" s="14" t="s">
        <v>15</v>
      </c>
      <c r="G34" s="19" t="s">
        <v>85</v>
      </c>
      <c r="H34" s="20" t="s">
        <v>7</v>
      </c>
      <c r="I34" s="20" t="s">
        <v>3</v>
      </c>
      <c r="J34" s="20" t="s">
        <v>5</v>
      </c>
      <c r="K34" s="20" t="s">
        <v>7</v>
      </c>
      <c r="L34" s="20" t="s">
        <v>5</v>
      </c>
      <c r="M34" s="20" t="s">
        <v>2</v>
      </c>
      <c r="N34" s="20" t="s">
        <v>8</v>
      </c>
      <c r="O34" s="11" t="s">
        <v>7</v>
      </c>
      <c r="P34" s="4">
        <v>0</v>
      </c>
    </row>
    <row r="35" spans="1:16" s="5" customFormat="1" ht="42" customHeight="1">
      <c r="A35" s="2">
        <v>33</v>
      </c>
      <c r="B35" s="12">
        <v>2544640941</v>
      </c>
      <c r="C35" s="21">
        <v>250371613085</v>
      </c>
      <c r="D35" s="22" t="s">
        <v>1347</v>
      </c>
      <c r="E35" s="12" t="s">
        <v>28</v>
      </c>
      <c r="F35" s="14" t="s">
        <v>15</v>
      </c>
      <c r="G35" s="19" t="s">
        <v>85</v>
      </c>
      <c r="H35" s="20" t="s">
        <v>4</v>
      </c>
      <c r="I35" s="20" t="s">
        <v>4</v>
      </c>
      <c r="J35" s="20" t="s">
        <v>2</v>
      </c>
      <c r="K35" s="20" t="s">
        <v>2</v>
      </c>
      <c r="L35" s="20" t="s">
        <v>2</v>
      </c>
      <c r="M35" s="20" t="s">
        <v>2</v>
      </c>
      <c r="N35" s="20" t="s">
        <v>8</v>
      </c>
      <c r="O35" s="11" t="s">
        <v>17</v>
      </c>
      <c r="P35" s="4">
        <v>8.3888888888888893</v>
      </c>
    </row>
    <row r="36" spans="1:16" s="5" customFormat="1" ht="42" customHeight="1">
      <c r="A36" s="2">
        <v>34</v>
      </c>
      <c r="B36" s="12">
        <v>2544640722</v>
      </c>
      <c r="C36" s="21">
        <v>250371613087</v>
      </c>
      <c r="D36" s="22" t="s">
        <v>1348</v>
      </c>
      <c r="E36" s="12" t="s">
        <v>28</v>
      </c>
      <c r="F36" s="14" t="s">
        <v>15</v>
      </c>
      <c r="G36" s="19" t="s">
        <v>85</v>
      </c>
      <c r="H36" s="20" t="s">
        <v>7</v>
      </c>
      <c r="I36" s="20" t="s">
        <v>5</v>
      </c>
      <c r="J36" s="20" t="s">
        <v>5</v>
      </c>
      <c r="K36" s="20" t="s">
        <v>5</v>
      </c>
      <c r="L36" s="20" t="s">
        <v>5</v>
      </c>
      <c r="M36" s="20" t="s">
        <v>4</v>
      </c>
      <c r="N36" s="20" t="s">
        <v>8</v>
      </c>
      <c r="O36" s="11" t="s">
        <v>7</v>
      </c>
      <c r="P36" s="4">
        <v>0</v>
      </c>
    </row>
    <row r="37" spans="1:16" s="5" customFormat="1" ht="42" customHeight="1">
      <c r="A37" s="2">
        <v>35</v>
      </c>
      <c r="B37" s="12">
        <v>2544640603</v>
      </c>
      <c r="C37" s="21">
        <v>250371613090</v>
      </c>
      <c r="D37" s="22" t="s">
        <v>1349</v>
      </c>
      <c r="E37" s="12" t="s">
        <v>28</v>
      </c>
      <c r="F37" s="14" t="s">
        <v>15</v>
      </c>
      <c r="G37" s="19" t="s">
        <v>85</v>
      </c>
      <c r="H37" s="20" t="s">
        <v>2</v>
      </c>
      <c r="I37" s="20" t="s">
        <v>2</v>
      </c>
      <c r="J37" s="20" t="s">
        <v>3</v>
      </c>
      <c r="K37" s="20" t="s">
        <v>8</v>
      </c>
      <c r="L37" s="20" t="s">
        <v>8</v>
      </c>
      <c r="M37" s="20" t="s">
        <v>2</v>
      </c>
      <c r="N37" s="20" t="s">
        <v>8</v>
      </c>
      <c r="O37" s="11" t="s">
        <v>17</v>
      </c>
      <c r="P37" s="4">
        <v>9.1666666666666661</v>
      </c>
    </row>
    <row r="38" spans="1:16" s="5" customFormat="1" ht="42" customHeight="1">
      <c r="A38" s="2">
        <v>36</v>
      </c>
      <c r="B38" s="12">
        <v>2544640684</v>
      </c>
      <c r="C38" s="21">
        <v>250371613091</v>
      </c>
      <c r="D38" s="22" t="s">
        <v>1350</v>
      </c>
      <c r="E38" s="12" t="s">
        <v>28</v>
      </c>
      <c r="F38" s="14" t="s">
        <v>15</v>
      </c>
      <c r="G38" s="19" t="s">
        <v>85</v>
      </c>
      <c r="H38" s="20" t="s">
        <v>11</v>
      </c>
      <c r="I38" s="20" t="s">
        <v>5</v>
      </c>
      <c r="J38" s="20" t="s">
        <v>3</v>
      </c>
      <c r="K38" s="20" t="s">
        <v>4</v>
      </c>
      <c r="L38" s="20" t="s">
        <v>2</v>
      </c>
      <c r="M38" s="20" t="s">
        <v>2</v>
      </c>
      <c r="N38" s="20" t="s">
        <v>2</v>
      </c>
      <c r="O38" s="11" t="s">
        <v>17</v>
      </c>
      <c r="P38" s="4">
        <v>7.1111111111111107</v>
      </c>
    </row>
    <row r="39" spans="1:16" s="5" customFormat="1" ht="42" customHeight="1">
      <c r="A39" s="2">
        <v>37</v>
      </c>
      <c r="B39" s="12">
        <v>2544640844</v>
      </c>
      <c r="C39" s="21">
        <v>250371613093</v>
      </c>
      <c r="D39" s="22" t="s">
        <v>1351</v>
      </c>
      <c r="E39" s="12" t="s">
        <v>28</v>
      </c>
      <c r="F39" s="14" t="s">
        <v>15</v>
      </c>
      <c r="G39" s="19" t="s">
        <v>85</v>
      </c>
      <c r="H39" s="20" t="s">
        <v>3</v>
      </c>
      <c r="I39" s="20" t="s">
        <v>3</v>
      </c>
      <c r="J39" s="20" t="s">
        <v>2</v>
      </c>
      <c r="K39" s="20" t="s">
        <v>3</v>
      </c>
      <c r="L39" s="20" t="s">
        <v>2</v>
      </c>
      <c r="M39" s="20" t="s">
        <v>8</v>
      </c>
      <c r="N39" s="20" t="s">
        <v>2</v>
      </c>
      <c r="O39" s="11" t="s">
        <v>17</v>
      </c>
      <c r="P39" s="4">
        <v>8.5555555555555554</v>
      </c>
    </row>
    <row r="40" spans="1:16" s="5" customFormat="1" ht="42" customHeight="1">
      <c r="A40" s="2">
        <v>38</v>
      </c>
      <c r="B40" s="12">
        <v>2544640905</v>
      </c>
      <c r="C40" s="21">
        <v>250371613095</v>
      </c>
      <c r="D40" s="22" t="s">
        <v>1352</v>
      </c>
      <c r="E40" s="12" t="s">
        <v>28</v>
      </c>
      <c r="F40" s="14" t="s">
        <v>15</v>
      </c>
      <c r="G40" s="19" t="s">
        <v>85</v>
      </c>
      <c r="H40" s="20" t="s">
        <v>4</v>
      </c>
      <c r="I40" s="20" t="s">
        <v>3</v>
      </c>
      <c r="J40" s="20" t="s">
        <v>5</v>
      </c>
      <c r="K40" s="20" t="s">
        <v>3</v>
      </c>
      <c r="L40" s="20" t="s">
        <v>4</v>
      </c>
      <c r="M40" s="20" t="s">
        <v>3</v>
      </c>
      <c r="N40" s="20" t="s">
        <v>2</v>
      </c>
      <c r="O40" s="11" t="s">
        <v>17</v>
      </c>
      <c r="P40" s="4">
        <v>7.2777777777777777</v>
      </c>
    </row>
    <row r="41" spans="1:16" s="5" customFormat="1" ht="42" customHeight="1">
      <c r="A41" s="2">
        <v>39</v>
      </c>
      <c r="B41" s="12">
        <v>2544640318</v>
      </c>
      <c r="C41" s="21">
        <v>250371613100</v>
      </c>
      <c r="D41" s="22" t="s">
        <v>1353</v>
      </c>
      <c r="E41" s="12" t="s">
        <v>28</v>
      </c>
      <c r="F41" s="14" t="s">
        <v>15</v>
      </c>
      <c r="G41" s="19" t="s">
        <v>85</v>
      </c>
      <c r="H41" s="20" t="s">
        <v>3</v>
      </c>
      <c r="I41" s="20" t="s">
        <v>2</v>
      </c>
      <c r="J41" s="20" t="s">
        <v>3</v>
      </c>
      <c r="K41" s="20" t="s">
        <v>2</v>
      </c>
      <c r="L41" s="20" t="s">
        <v>8</v>
      </c>
      <c r="M41" s="20" t="s">
        <v>2</v>
      </c>
      <c r="N41" s="20" t="s">
        <v>2</v>
      </c>
      <c r="O41" s="11" t="s">
        <v>17</v>
      </c>
      <c r="P41" s="4">
        <v>8.7777777777777786</v>
      </c>
    </row>
    <row r="42" spans="1:16" s="5" customFormat="1" ht="42" customHeight="1">
      <c r="A42" s="2">
        <v>40</v>
      </c>
      <c r="B42" s="12">
        <v>2544640919</v>
      </c>
      <c r="C42" s="21">
        <v>250371613101</v>
      </c>
      <c r="D42" s="22" t="s">
        <v>1354</v>
      </c>
      <c r="E42" s="12" t="s">
        <v>28</v>
      </c>
      <c r="F42" s="14" t="s">
        <v>15</v>
      </c>
      <c r="G42" s="19" t="s">
        <v>85</v>
      </c>
      <c r="H42" s="20" t="s">
        <v>3</v>
      </c>
      <c r="I42" s="20" t="s">
        <v>2</v>
      </c>
      <c r="J42" s="20" t="s">
        <v>4</v>
      </c>
      <c r="K42" s="20" t="s">
        <v>4</v>
      </c>
      <c r="L42" s="20" t="s">
        <v>1517</v>
      </c>
      <c r="M42" s="20" t="s">
        <v>4</v>
      </c>
      <c r="N42" s="20" t="s">
        <v>2</v>
      </c>
      <c r="O42" s="11" t="s">
        <v>1517</v>
      </c>
      <c r="P42" s="4">
        <v>0</v>
      </c>
    </row>
    <row r="43" spans="1:16" s="5" customFormat="1" ht="42" customHeight="1">
      <c r="A43" s="2">
        <v>41</v>
      </c>
      <c r="B43" s="12">
        <v>2544640947</v>
      </c>
      <c r="C43" s="21">
        <v>250371613102</v>
      </c>
      <c r="D43" s="22" t="s">
        <v>1355</v>
      </c>
      <c r="E43" s="12" t="s">
        <v>28</v>
      </c>
      <c r="F43" s="14" t="s">
        <v>15</v>
      </c>
      <c r="G43" s="19" t="s">
        <v>85</v>
      </c>
      <c r="H43" s="20" t="s">
        <v>4</v>
      </c>
      <c r="I43" s="20" t="s">
        <v>3</v>
      </c>
      <c r="J43" s="20" t="s">
        <v>4</v>
      </c>
      <c r="K43" s="20" t="s">
        <v>3</v>
      </c>
      <c r="L43" s="20" t="s">
        <v>3</v>
      </c>
      <c r="M43" s="20" t="s">
        <v>3</v>
      </c>
      <c r="N43" s="20" t="s">
        <v>2</v>
      </c>
      <c r="O43" s="11" t="s">
        <v>17</v>
      </c>
      <c r="P43" s="4">
        <v>7.666666666666667</v>
      </c>
    </row>
    <row r="44" spans="1:16" s="5" customFormat="1" ht="42" customHeight="1">
      <c r="A44" s="2">
        <v>42</v>
      </c>
      <c r="B44" s="12">
        <v>2544640317</v>
      </c>
      <c r="C44" s="21">
        <v>250371613103</v>
      </c>
      <c r="D44" s="22" t="s">
        <v>1356</v>
      </c>
      <c r="E44" s="12" t="s">
        <v>28</v>
      </c>
      <c r="F44" s="14" t="s">
        <v>15</v>
      </c>
      <c r="G44" s="19" t="s">
        <v>85</v>
      </c>
      <c r="H44" s="20" t="s">
        <v>3</v>
      </c>
      <c r="I44" s="20" t="s">
        <v>3</v>
      </c>
      <c r="J44" s="20" t="s">
        <v>2</v>
      </c>
      <c r="K44" s="20" t="s">
        <v>2</v>
      </c>
      <c r="L44" s="20" t="s">
        <v>8</v>
      </c>
      <c r="M44" s="20" t="s">
        <v>8</v>
      </c>
      <c r="N44" s="20" t="s">
        <v>2</v>
      </c>
      <c r="O44" s="11" t="s">
        <v>17</v>
      </c>
      <c r="P44" s="4">
        <v>8.8888888888888893</v>
      </c>
    </row>
    <row r="45" spans="1:16" s="5" customFormat="1" ht="42" customHeight="1">
      <c r="A45" s="2">
        <v>43</v>
      </c>
      <c r="B45" s="12">
        <v>2544640058</v>
      </c>
      <c r="C45" s="21">
        <v>250371613112</v>
      </c>
      <c r="D45" s="22" t="s">
        <v>1357</v>
      </c>
      <c r="E45" s="12" t="s">
        <v>28</v>
      </c>
      <c r="F45" s="14" t="s">
        <v>15</v>
      </c>
      <c r="G45" s="19" t="s">
        <v>85</v>
      </c>
      <c r="H45" s="20" t="s">
        <v>3</v>
      </c>
      <c r="I45" s="20" t="s">
        <v>4</v>
      </c>
      <c r="J45" s="20" t="s">
        <v>3</v>
      </c>
      <c r="K45" s="20" t="s">
        <v>4</v>
      </c>
      <c r="L45" s="20" t="s">
        <v>3</v>
      </c>
      <c r="M45" s="20" t="s">
        <v>3</v>
      </c>
      <c r="N45" s="20" t="s">
        <v>2</v>
      </c>
      <c r="O45" s="11" t="s">
        <v>17</v>
      </c>
      <c r="P45" s="4">
        <v>7.7222222222222223</v>
      </c>
    </row>
    <row r="46" spans="1:16" s="5" customFormat="1" ht="42" customHeight="1">
      <c r="A46" s="2">
        <v>44</v>
      </c>
      <c r="B46" s="12">
        <v>2544640138</v>
      </c>
      <c r="C46" s="21">
        <v>250371613114</v>
      </c>
      <c r="D46" s="22" t="s">
        <v>1358</v>
      </c>
      <c r="E46" s="12" t="s">
        <v>28</v>
      </c>
      <c r="F46" s="14" t="s">
        <v>15</v>
      </c>
      <c r="G46" s="19" t="s">
        <v>85</v>
      </c>
      <c r="H46" s="20" t="s">
        <v>4</v>
      </c>
      <c r="I46" s="20" t="s">
        <v>5</v>
      </c>
      <c r="J46" s="20" t="s">
        <v>3</v>
      </c>
      <c r="K46" s="20" t="s">
        <v>2</v>
      </c>
      <c r="L46" s="20" t="s">
        <v>8</v>
      </c>
      <c r="M46" s="20" t="s">
        <v>4</v>
      </c>
      <c r="N46" s="20" t="s">
        <v>8</v>
      </c>
      <c r="O46" s="11" t="s">
        <v>17</v>
      </c>
      <c r="P46" s="4">
        <v>8.0555555555555554</v>
      </c>
    </row>
  </sheetData>
  <autoFilter ref="A1:P46">
    <filterColumn colId="6"/>
    <filterColumn colId="11"/>
    <filterColumn colId="12"/>
    <filterColumn colId="13"/>
  </autoFilter>
  <mergeCells count="8">
    <mergeCell ref="G1:G2"/>
    <mergeCell ref="P1:P2"/>
    <mergeCell ref="A1:A2"/>
    <mergeCell ref="B1:B2"/>
    <mergeCell ref="C1:C2"/>
    <mergeCell ref="D1:D2"/>
    <mergeCell ref="E1:E2"/>
    <mergeCell ref="F1:F2"/>
  </mergeCells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P3"/>
  <sheetViews>
    <sheetView topLeftCell="H1" workbookViewId="0">
      <selection activeCell="L39" sqref="L39"/>
    </sheetView>
  </sheetViews>
  <sheetFormatPr defaultRowHeight="15"/>
  <cols>
    <col min="1" max="1" width="6.5703125" style="6" bestFit="1" customWidth="1"/>
    <col min="2" max="2" width="16.28515625" style="6" customWidth="1"/>
    <col min="3" max="3" width="18.28515625" style="6" bestFit="1" customWidth="1"/>
    <col min="4" max="4" width="44.5703125" style="6" customWidth="1"/>
    <col min="5" max="5" width="12.140625" style="9" customWidth="1"/>
    <col min="6" max="7" width="13.42578125" style="6" customWidth="1"/>
    <col min="8" max="8" width="17.85546875" style="6" customWidth="1"/>
    <col min="9" max="9" width="18.5703125" style="6" customWidth="1"/>
    <col min="10" max="10" width="18.85546875" style="6" customWidth="1"/>
    <col min="11" max="15" width="17.85546875" style="6" customWidth="1"/>
    <col min="16" max="16" width="9.140625" style="7" customWidth="1"/>
    <col min="17" max="16384" width="9.140625" style="6"/>
  </cols>
  <sheetData>
    <row r="1" spans="1:16" s="8" customFormat="1" ht="127.5" customHeight="1">
      <c r="A1" s="53" t="s">
        <v>1</v>
      </c>
      <c r="B1" s="53" t="s">
        <v>16</v>
      </c>
      <c r="C1" s="53" t="s">
        <v>12</v>
      </c>
      <c r="D1" s="53" t="s">
        <v>13</v>
      </c>
      <c r="E1" s="53" t="s">
        <v>14</v>
      </c>
      <c r="F1" s="53" t="s">
        <v>0</v>
      </c>
      <c r="G1" s="53" t="s">
        <v>31</v>
      </c>
      <c r="H1" s="1" t="s">
        <v>78</v>
      </c>
      <c r="I1" s="1" t="s">
        <v>610</v>
      </c>
      <c r="J1" s="1" t="s">
        <v>80</v>
      </c>
      <c r="K1" s="1" t="s">
        <v>391</v>
      </c>
      <c r="L1" s="1" t="s">
        <v>392</v>
      </c>
      <c r="M1" s="1" t="s">
        <v>393</v>
      </c>
      <c r="N1" s="1" t="s">
        <v>394</v>
      </c>
      <c r="O1" s="1" t="s">
        <v>10</v>
      </c>
      <c r="P1" s="55" t="s">
        <v>9</v>
      </c>
    </row>
    <row r="2" spans="1:16" s="8" customFormat="1" ht="29.25" customHeight="1">
      <c r="A2" s="54"/>
      <c r="B2" s="54"/>
      <c r="C2" s="54"/>
      <c r="D2" s="54"/>
      <c r="E2" s="54"/>
      <c r="F2" s="54"/>
      <c r="G2" s="54"/>
      <c r="H2" s="10">
        <v>3</v>
      </c>
      <c r="I2" s="10">
        <v>3</v>
      </c>
      <c r="J2" s="10">
        <v>4</v>
      </c>
      <c r="K2" s="10">
        <v>3</v>
      </c>
      <c r="L2" s="10">
        <v>3</v>
      </c>
      <c r="M2" s="10">
        <v>1</v>
      </c>
      <c r="N2" s="10">
        <v>1</v>
      </c>
      <c r="O2" s="10">
        <f>SUM(H2:N2)</f>
        <v>18</v>
      </c>
      <c r="P2" s="56"/>
    </row>
    <row r="3" spans="1:16" s="5" customFormat="1" ht="42" customHeight="1">
      <c r="A3" s="2">
        <v>1</v>
      </c>
      <c r="B3" s="12">
        <v>2544641079</v>
      </c>
      <c r="C3" s="12">
        <v>250371613053</v>
      </c>
      <c r="D3" s="13" t="s">
        <v>1359</v>
      </c>
      <c r="E3" s="12" t="s">
        <v>28</v>
      </c>
      <c r="F3" s="14" t="s">
        <v>15</v>
      </c>
      <c r="G3" s="19" t="s">
        <v>612</v>
      </c>
      <c r="H3" s="20" t="s">
        <v>4</v>
      </c>
      <c r="I3" s="20" t="s">
        <v>8</v>
      </c>
      <c r="J3" s="20" t="s">
        <v>4</v>
      </c>
      <c r="K3" s="20" t="s">
        <v>2</v>
      </c>
      <c r="L3" s="20" t="s">
        <v>2</v>
      </c>
      <c r="M3" s="20" t="s">
        <v>8</v>
      </c>
      <c r="N3" s="20" t="s">
        <v>2</v>
      </c>
      <c r="O3" s="11" t="s">
        <v>17</v>
      </c>
      <c r="P3" s="4">
        <v>8.4444444444444446</v>
      </c>
    </row>
  </sheetData>
  <autoFilter ref="A1:P3">
    <filterColumn colId="6"/>
    <filterColumn colId="11"/>
    <filterColumn colId="12"/>
    <filterColumn colId="13"/>
  </autoFilter>
  <mergeCells count="8">
    <mergeCell ref="G1:G2"/>
    <mergeCell ref="P1:P2"/>
    <mergeCell ref="A1:A2"/>
    <mergeCell ref="B1:B2"/>
    <mergeCell ref="C1:C2"/>
    <mergeCell ref="D1:D2"/>
    <mergeCell ref="E1:E2"/>
    <mergeCell ref="F1:F2"/>
  </mergeCells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sheetPr filterMode="1"/>
  <dimension ref="A1:P30"/>
  <sheetViews>
    <sheetView topLeftCell="C1" workbookViewId="0">
      <selection activeCell="L39" sqref="L39"/>
    </sheetView>
  </sheetViews>
  <sheetFormatPr defaultRowHeight="15"/>
  <cols>
    <col min="1" max="1" width="6.5703125" style="6" bestFit="1" customWidth="1"/>
    <col min="2" max="2" width="16.28515625" style="6" customWidth="1"/>
    <col min="3" max="3" width="18.28515625" style="6" bestFit="1" customWidth="1"/>
    <col min="4" max="4" width="37.85546875" style="6" customWidth="1"/>
    <col min="5" max="5" width="12.140625" style="9" customWidth="1"/>
    <col min="6" max="7" width="13.42578125" style="6" customWidth="1"/>
    <col min="8" max="8" width="17.85546875" style="6" customWidth="1"/>
    <col min="9" max="9" width="18.5703125" style="6" customWidth="1"/>
    <col min="10" max="10" width="18.85546875" style="6" customWidth="1"/>
    <col min="11" max="15" width="17.85546875" style="6" customWidth="1"/>
    <col min="16" max="16" width="8.5703125" style="7" bestFit="1" customWidth="1"/>
    <col min="17" max="16384" width="9.140625" style="6"/>
  </cols>
  <sheetData>
    <row r="1" spans="1:16" s="31" customFormat="1" ht="35.25" customHeight="1">
      <c r="A1" s="58" t="s">
        <v>1519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</row>
    <row r="2" spans="1:16" s="5" customFormat="1" ht="35.25" customHeight="1">
      <c r="A2" s="57" t="s">
        <v>1518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</row>
    <row r="3" spans="1:16" s="8" customFormat="1" ht="92.25" customHeight="1">
      <c r="A3" s="53" t="s">
        <v>1</v>
      </c>
      <c r="B3" s="53" t="s">
        <v>16</v>
      </c>
      <c r="C3" s="53" t="s">
        <v>12</v>
      </c>
      <c r="D3" s="53" t="s">
        <v>13</v>
      </c>
      <c r="E3" s="53" t="s">
        <v>14</v>
      </c>
      <c r="F3" s="53" t="s">
        <v>0</v>
      </c>
      <c r="G3" s="53" t="s">
        <v>31</v>
      </c>
      <c r="H3" s="1" t="s">
        <v>78</v>
      </c>
      <c r="I3" s="1" t="s">
        <v>79</v>
      </c>
      <c r="J3" s="1" t="s">
        <v>80</v>
      </c>
      <c r="K3" s="1" t="s">
        <v>333</v>
      </c>
      <c r="L3" s="1" t="s">
        <v>334</v>
      </c>
      <c r="M3" s="1" t="s">
        <v>335</v>
      </c>
      <c r="N3" s="1" t="s">
        <v>336</v>
      </c>
      <c r="O3" s="1" t="s">
        <v>10</v>
      </c>
      <c r="P3" s="55" t="s">
        <v>9</v>
      </c>
    </row>
    <row r="4" spans="1:16" s="8" customFormat="1" ht="29.25" hidden="1" customHeight="1">
      <c r="A4" s="54"/>
      <c r="B4" s="54"/>
      <c r="C4" s="54"/>
      <c r="D4" s="54"/>
      <c r="E4" s="54"/>
      <c r="F4" s="54"/>
      <c r="G4" s="54"/>
      <c r="H4" s="10">
        <v>3</v>
      </c>
      <c r="I4" s="10">
        <v>3</v>
      </c>
      <c r="J4" s="10">
        <v>4</v>
      </c>
      <c r="K4" s="10">
        <v>4</v>
      </c>
      <c r="L4" s="10">
        <v>4</v>
      </c>
      <c r="M4" s="10">
        <v>4</v>
      </c>
      <c r="N4" s="10">
        <v>4</v>
      </c>
      <c r="O4" s="10">
        <f>SUM(H4:N4)</f>
        <v>26</v>
      </c>
      <c r="P4" s="56"/>
    </row>
    <row r="5" spans="1:16" s="5" customFormat="1" ht="42" customHeight="1">
      <c r="A5" s="2">
        <v>1</v>
      </c>
      <c r="B5" s="12">
        <v>2544641084</v>
      </c>
      <c r="C5" s="12">
        <v>250371731004</v>
      </c>
      <c r="D5" s="13" t="s">
        <v>337</v>
      </c>
      <c r="E5" s="12" t="s">
        <v>24</v>
      </c>
      <c r="F5" s="19" t="s">
        <v>15</v>
      </c>
      <c r="G5" s="19" t="s">
        <v>34</v>
      </c>
      <c r="H5" s="20" t="s">
        <v>11</v>
      </c>
      <c r="I5" s="20" t="s">
        <v>4</v>
      </c>
      <c r="J5" s="20" t="s">
        <v>5</v>
      </c>
      <c r="K5" s="20" t="s">
        <v>5</v>
      </c>
      <c r="L5" s="20" t="s">
        <v>4</v>
      </c>
      <c r="M5" s="20" t="s">
        <v>4</v>
      </c>
      <c r="N5" s="20" t="s">
        <v>6</v>
      </c>
      <c r="O5" s="11" t="s">
        <v>17</v>
      </c>
      <c r="P5" s="4">
        <v>6.0384615384615383</v>
      </c>
    </row>
    <row r="6" spans="1:16" s="5" customFormat="1" ht="42" customHeight="1">
      <c r="A6" s="2">
        <v>2</v>
      </c>
      <c r="B6" s="12">
        <v>2544640087</v>
      </c>
      <c r="C6" s="12">
        <v>250371731006</v>
      </c>
      <c r="D6" s="13" t="s">
        <v>338</v>
      </c>
      <c r="E6" s="12" t="s">
        <v>24</v>
      </c>
      <c r="F6" s="19" t="s">
        <v>15</v>
      </c>
      <c r="G6" s="19" t="s">
        <v>34</v>
      </c>
      <c r="H6" s="20" t="s">
        <v>2</v>
      </c>
      <c r="I6" s="20" t="s">
        <v>4</v>
      </c>
      <c r="J6" s="20" t="s">
        <v>3</v>
      </c>
      <c r="K6" s="20" t="s">
        <v>4</v>
      </c>
      <c r="L6" s="20" t="s">
        <v>5</v>
      </c>
      <c r="M6" s="20" t="s">
        <v>4</v>
      </c>
      <c r="N6" s="20" t="s">
        <v>4</v>
      </c>
      <c r="O6" s="11" t="s">
        <v>17</v>
      </c>
      <c r="P6" s="4">
        <v>7.2307692307692308</v>
      </c>
    </row>
    <row r="7" spans="1:16" s="5" customFormat="1" ht="42" customHeight="1">
      <c r="A7" s="2">
        <v>3</v>
      </c>
      <c r="B7" s="12">
        <v>2544640602</v>
      </c>
      <c r="C7" s="12">
        <v>250371731007</v>
      </c>
      <c r="D7" s="13" t="s">
        <v>339</v>
      </c>
      <c r="E7" s="12" t="s">
        <v>24</v>
      </c>
      <c r="F7" s="19" t="s">
        <v>15</v>
      </c>
      <c r="G7" s="19" t="s">
        <v>34</v>
      </c>
      <c r="H7" s="20" t="s">
        <v>2</v>
      </c>
      <c r="I7" s="20" t="s">
        <v>4</v>
      </c>
      <c r="J7" s="20" t="s">
        <v>11</v>
      </c>
      <c r="K7" s="20" t="s">
        <v>4</v>
      </c>
      <c r="L7" s="20" t="s">
        <v>4</v>
      </c>
      <c r="M7" s="20" t="s">
        <v>11</v>
      </c>
      <c r="N7" s="20" t="s">
        <v>5</v>
      </c>
      <c r="O7" s="11" t="s">
        <v>17</v>
      </c>
      <c r="P7" s="4">
        <v>6.1538461538461542</v>
      </c>
    </row>
    <row r="8" spans="1:16" s="5" customFormat="1" ht="42" customHeight="1">
      <c r="A8" s="2">
        <v>4</v>
      </c>
      <c r="B8" s="12">
        <v>2544641012</v>
      </c>
      <c r="C8" s="12">
        <v>250371731009</v>
      </c>
      <c r="D8" s="13" t="s">
        <v>340</v>
      </c>
      <c r="E8" s="12" t="s">
        <v>24</v>
      </c>
      <c r="F8" s="19" t="s">
        <v>15</v>
      </c>
      <c r="G8" s="19" t="s">
        <v>34</v>
      </c>
      <c r="H8" s="20" t="s">
        <v>4</v>
      </c>
      <c r="I8" s="20" t="s">
        <v>3</v>
      </c>
      <c r="J8" s="20" t="s">
        <v>6</v>
      </c>
      <c r="K8" s="20" t="s">
        <v>5</v>
      </c>
      <c r="L8" s="20" t="s">
        <v>4</v>
      </c>
      <c r="M8" s="20" t="s">
        <v>4</v>
      </c>
      <c r="N8" s="20" t="s">
        <v>4</v>
      </c>
      <c r="O8" s="11" t="s">
        <v>17</v>
      </c>
      <c r="P8" s="4">
        <v>6.6538461538461542</v>
      </c>
    </row>
    <row r="9" spans="1:16" s="5" customFormat="1" ht="42" customHeight="1">
      <c r="A9" s="2">
        <v>5</v>
      </c>
      <c r="B9" s="12">
        <v>2544640771</v>
      </c>
      <c r="C9" s="12">
        <v>250371731011</v>
      </c>
      <c r="D9" s="13" t="s">
        <v>341</v>
      </c>
      <c r="E9" s="12" t="s">
        <v>24</v>
      </c>
      <c r="F9" s="19" t="s">
        <v>15</v>
      </c>
      <c r="G9" s="19" t="s">
        <v>34</v>
      </c>
      <c r="H9" s="20" t="s">
        <v>3</v>
      </c>
      <c r="I9" s="20" t="s">
        <v>4</v>
      </c>
      <c r="J9" s="20" t="s">
        <v>4</v>
      </c>
      <c r="K9" s="20" t="s">
        <v>4</v>
      </c>
      <c r="L9" s="20" t="s">
        <v>4</v>
      </c>
      <c r="M9" s="20" t="s">
        <v>5</v>
      </c>
      <c r="N9" s="20" t="s">
        <v>4</v>
      </c>
      <c r="O9" s="11" t="s">
        <v>17</v>
      </c>
      <c r="P9" s="4">
        <v>6.9615384615384617</v>
      </c>
    </row>
    <row r="10" spans="1:16" s="5" customFormat="1" ht="42" hidden="1" customHeight="1">
      <c r="A10" s="2">
        <v>6</v>
      </c>
      <c r="B10" s="12">
        <v>2544641059</v>
      </c>
      <c r="C10" s="12">
        <v>250371731015</v>
      </c>
      <c r="D10" s="13" t="s">
        <v>342</v>
      </c>
      <c r="E10" s="12" t="s">
        <v>24</v>
      </c>
      <c r="F10" s="19" t="s">
        <v>15</v>
      </c>
      <c r="G10" s="19" t="s">
        <v>34</v>
      </c>
      <c r="H10" s="20" t="s">
        <v>5</v>
      </c>
      <c r="I10" s="20" t="s">
        <v>11</v>
      </c>
      <c r="J10" s="20" t="s">
        <v>11</v>
      </c>
      <c r="K10" s="20" t="s">
        <v>4</v>
      </c>
      <c r="L10" s="20" t="s">
        <v>6</v>
      </c>
      <c r="M10" s="20" t="s">
        <v>7</v>
      </c>
      <c r="N10" s="20" t="s">
        <v>7</v>
      </c>
      <c r="O10" s="11" t="s">
        <v>7</v>
      </c>
      <c r="P10" s="4">
        <v>0</v>
      </c>
    </row>
    <row r="11" spans="1:16" s="5" customFormat="1" ht="42" hidden="1" customHeight="1">
      <c r="A11" s="2">
        <v>7</v>
      </c>
      <c r="B11" s="12">
        <v>2544640853</v>
      </c>
      <c r="C11" s="12">
        <v>250371731019</v>
      </c>
      <c r="D11" s="13" t="s">
        <v>343</v>
      </c>
      <c r="E11" s="12" t="s">
        <v>24</v>
      </c>
      <c r="F11" s="19" t="s">
        <v>15</v>
      </c>
      <c r="G11" s="19" t="s">
        <v>34</v>
      </c>
      <c r="H11" s="20" t="s">
        <v>4</v>
      </c>
      <c r="I11" s="20" t="s">
        <v>11</v>
      </c>
      <c r="J11" s="20" t="s">
        <v>11</v>
      </c>
      <c r="K11" s="20" t="s">
        <v>5</v>
      </c>
      <c r="L11" s="20" t="s">
        <v>7</v>
      </c>
      <c r="M11" s="20" t="s">
        <v>7</v>
      </c>
      <c r="N11" s="20" t="s">
        <v>7</v>
      </c>
      <c r="O11" s="11" t="s">
        <v>7</v>
      </c>
      <c r="P11" s="4">
        <v>0</v>
      </c>
    </row>
    <row r="12" spans="1:16" s="5" customFormat="1" ht="42" customHeight="1">
      <c r="A12" s="2">
        <v>8</v>
      </c>
      <c r="B12" s="12">
        <v>2544640792</v>
      </c>
      <c r="C12" s="12">
        <v>250371731022</v>
      </c>
      <c r="D12" s="13" t="s">
        <v>344</v>
      </c>
      <c r="E12" s="12" t="s">
        <v>24</v>
      </c>
      <c r="F12" s="19" t="s">
        <v>15</v>
      </c>
      <c r="G12" s="19" t="s">
        <v>34</v>
      </c>
      <c r="H12" s="20" t="s">
        <v>4</v>
      </c>
      <c r="I12" s="20" t="s">
        <v>11</v>
      </c>
      <c r="J12" s="20" t="s">
        <v>6</v>
      </c>
      <c r="K12" s="20" t="s">
        <v>3</v>
      </c>
      <c r="L12" s="20" t="s">
        <v>5</v>
      </c>
      <c r="M12" s="20" t="s">
        <v>4</v>
      </c>
      <c r="N12" s="20" t="s">
        <v>5</v>
      </c>
      <c r="O12" s="11" t="s">
        <v>17</v>
      </c>
      <c r="P12" s="4">
        <v>6.1923076923076925</v>
      </c>
    </row>
    <row r="13" spans="1:16" s="5" customFormat="1" ht="42" customHeight="1">
      <c r="A13" s="2">
        <v>9</v>
      </c>
      <c r="B13" s="12">
        <v>2544640776</v>
      </c>
      <c r="C13" s="12">
        <v>250371731023</v>
      </c>
      <c r="D13" s="13" t="s">
        <v>345</v>
      </c>
      <c r="E13" s="12" t="s">
        <v>24</v>
      </c>
      <c r="F13" s="19" t="s">
        <v>15</v>
      </c>
      <c r="G13" s="19" t="s">
        <v>34</v>
      </c>
      <c r="H13" s="20" t="s">
        <v>2</v>
      </c>
      <c r="I13" s="20" t="s">
        <v>4</v>
      </c>
      <c r="J13" s="20" t="s">
        <v>3</v>
      </c>
      <c r="K13" s="20" t="s">
        <v>4</v>
      </c>
      <c r="L13" s="20" t="s">
        <v>4</v>
      </c>
      <c r="M13" s="20" t="s">
        <v>4</v>
      </c>
      <c r="N13" s="20" t="s">
        <v>3</v>
      </c>
      <c r="O13" s="11" t="s">
        <v>17</v>
      </c>
      <c r="P13" s="4">
        <v>7.5384615384615383</v>
      </c>
    </row>
    <row r="14" spans="1:16" s="5" customFormat="1" ht="42" customHeight="1">
      <c r="A14" s="2">
        <v>10</v>
      </c>
      <c r="B14" s="12">
        <v>2544640679</v>
      </c>
      <c r="C14" s="12">
        <v>250371731025</v>
      </c>
      <c r="D14" s="13" t="s">
        <v>346</v>
      </c>
      <c r="E14" s="12" t="s">
        <v>24</v>
      </c>
      <c r="F14" s="19" t="s">
        <v>15</v>
      </c>
      <c r="G14" s="19" t="s">
        <v>34</v>
      </c>
      <c r="H14" s="20" t="s">
        <v>4</v>
      </c>
      <c r="I14" s="20" t="s">
        <v>6</v>
      </c>
      <c r="J14" s="20" t="s">
        <v>6</v>
      </c>
      <c r="K14" s="20" t="s">
        <v>4</v>
      </c>
      <c r="L14" s="20" t="s">
        <v>5</v>
      </c>
      <c r="M14" s="20" t="s">
        <v>5</v>
      </c>
      <c r="N14" s="20" t="s">
        <v>5</v>
      </c>
      <c r="O14" s="11" t="s">
        <v>17</v>
      </c>
      <c r="P14" s="4">
        <v>6</v>
      </c>
    </row>
    <row r="15" spans="1:16" s="5" customFormat="1" ht="42" hidden="1" customHeight="1">
      <c r="A15" s="2">
        <v>11</v>
      </c>
      <c r="B15" s="12">
        <v>2544640097</v>
      </c>
      <c r="C15" s="12">
        <v>250371731026</v>
      </c>
      <c r="D15" s="13" t="s">
        <v>347</v>
      </c>
      <c r="E15" s="12" t="s">
        <v>24</v>
      </c>
      <c r="F15" s="19" t="s">
        <v>15</v>
      </c>
      <c r="G15" s="19" t="s">
        <v>34</v>
      </c>
      <c r="H15" s="20" t="s">
        <v>6</v>
      </c>
      <c r="I15" s="20" t="s">
        <v>7</v>
      </c>
      <c r="J15" s="20" t="s">
        <v>11</v>
      </c>
      <c r="K15" s="20" t="s">
        <v>5</v>
      </c>
      <c r="L15" s="20" t="s">
        <v>7</v>
      </c>
      <c r="M15" s="20" t="s">
        <v>7</v>
      </c>
      <c r="N15" s="20" t="s">
        <v>7</v>
      </c>
      <c r="O15" s="11" t="s">
        <v>7</v>
      </c>
      <c r="P15" s="4">
        <v>0</v>
      </c>
    </row>
    <row r="16" spans="1:16" s="5" customFormat="1" ht="42" customHeight="1">
      <c r="A16" s="2">
        <v>12</v>
      </c>
      <c r="B16" s="12">
        <v>2544640177</v>
      </c>
      <c r="C16" s="12">
        <v>250371731028</v>
      </c>
      <c r="D16" s="13" t="s">
        <v>348</v>
      </c>
      <c r="E16" s="12" t="s">
        <v>24</v>
      </c>
      <c r="F16" s="19" t="s">
        <v>15</v>
      </c>
      <c r="G16" s="19" t="s">
        <v>34</v>
      </c>
      <c r="H16" s="20" t="s">
        <v>3</v>
      </c>
      <c r="I16" s="20" t="s">
        <v>2</v>
      </c>
      <c r="J16" s="20" t="s">
        <v>6</v>
      </c>
      <c r="K16" s="20" t="s">
        <v>4</v>
      </c>
      <c r="L16" s="20" t="s">
        <v>4</v>
      </c>
      <c r="M16" s="20" t="s">
        <v>4</v>
      </c>
      <c r="N16" s="20" t="s">
        <v>4</v>
      </c>
      <c r="O16" s="11" t="s">
        <v>17</v>
      </c>
      <c r="P16" s="4">
        <v>7.0384615384615383</v>
      </c>
    </row>
    <row r="17" spans="1:16" s="5" customFormat="1" ht="42" customHeight="1">
      <c r="A17" s="2">
        <v>13</v>
      </c>
      <c r="B17" s="12">
        <v>2544640102</v>
      </c>
      <c r="C17" s="12">
        <v>250371731029</v>
      </c>
      <c r="D17" s="13" t="s">
        <v>349</v>
      </c>
      <c r="E17" s="12" t="s">
        <v>24</v>
      </c>
      <c r="F17" s="19" t="s">
        <v>15</v>
      </c>
      <c r="G17" s="19" t="s">
        <v>34</v>
      </c>
      <c r="H17" s="20" t="s">
        <v>5</v>
      </c>
      <c r="I17" s="20" t="s">
        <v>11</v>
      </c>
      <c r="J17" s="20" t="s">
        <v>11</v>
      </c>
      <c r="K17" s="20" t="s">
        <v>4</v>
      </c>
      <c r="L17" s="20" t="s">
        <v>5</v>
      </c>
      <c r="M17" s="20" t="s">
        <v>4</v>
      </c>
      <c r="N17" s="20" t="s">
        <v>5</v>
      </c>
      <c r="O17" s="11" t="s">
        <v>17</v>
      </c>
      <c r="P17" s="4">
        <v>5.7692307692307692</v>
      </c>
    </row>
    <row r="18" spans="1:16" s="5" customFormat="1" ht="42" hidden="1" customHeight="1">
      <c r="A18" s="2">
        <v>14</v>
      </c>
      <c r="B18" s="12">
        <v>2544640889</v>
      </c>
      <c r="C18" s="12">
        <v>250371731030</v>
      </c>
      <c r="D18" s="13" t="s">
        <v>350</v>
      </c>
      <c r="E18" s="12" t="s">
        <v>24</v>
      </c>
      <c r="F18" s="19" t="s">
        <v>15</v>
      </c>
      <c r="G18" s="19" t="s">
        <v>34</v>
      </c>
      <c r="H18" s="20" t="s">
        <v>1516</v>
      </c>
      <c r="I18" s="20" t="s">
        <v>1516</v>
      </c>
      <c r="J18" s="20" t="s">
        <v>1516</v>
      </c>
      <c r="K18" s="20" t="s">
        <v>1516</v>
      </c>
      <c r="L18" s="20" t="s">
        <v>1516</v>
      </c>
      <c r="M18" s="20" t="s">
        <v>1516</v>
      </c>
      <c r="N18" s="20" t="s">
        <v>1516</v>
      </c>
      <c r="O18" s="11" t="s">
        <v>1516</v>
      </c>
      <c r="P18" s="4">
        <v>0</v>
      </c>
    </row>
    <row r="19" spans="1:16" s="5" customFormat="1" ht="42" customHeight="1">
      <c r="A19" s="2">
        <v>15</v>
      </c>
      <c r="B19" s="12">
        <v>2544641013</v>
      </c>
      <c r="C19" s="12">
        <v>250371731031</v>
      </c>
      <c r="D19" s="13" t="s">
        <v>351</v>
      </c>
      <c r="E19" s="12" t="s">
        <v>24</v>
      </c>
      <c r="F19" s="19" t="s">
        <v>15</v>
      </c>
      <c r="G19" s="19" t="s">
        <v>34</v>
      </c>
      <c r="H19" s="20" t="s">
        <v>3</v>
      </c>
      <c r="I19" s="20" t="s">
        <v>3</v>
      </c>
      <c r="J19" s="20" t="s">
        <v>6</v>
      </c>
      <c r="K19" s="20" t="s">
        <v>4</v>
      </c>
      <c r="L19" s="20" t="s">
        <v>5</v>
      </c>
      <c r="M19" s="20" t="s">
        <v>4</v>
      </c>
      <c r="N19" s="20" t="s">
        <v>4</v>
      </c>
      <c r="O19" s="11" t="s">
        <v>17</v>
      </c>
      <c r="P19" s="4">
        <v>6.7692307692307692</v>
      </c>
    </row>
    <row r="20" spans="1:16" s="5" customFormat="1" ht="42" hidden="1" customHeight="1">
      <c r="A20" s="2">
        <v>16</v>
      </c>
      <c r="B20" s="12">
        <v>2544640086</v>
      </c>
      <c r="C20" s="12">
        <v>250371731034</v>
      </c>
      <c r="D20" s="13" t="s">
        <v>352</v>
      </c>
      <c r="E20" s="12" t="s">
        <v>24</v>
      </c>
      <c r="F20" s="19" t="s">
        <v>15</v>
      </c>
      <c r="G20" s="19" t="s">
        <v>34</v>
      </c>
      <c r="H20" s="20" t="s">
        <v>3</v>
      </c>
      <c r="I20" s="20" t="s">
        <v>4</v>
      </c>
      <c r="J20" s="20" t="s">
        <v>6</v>
      </c>
      <c r="K20" s="20" t="s">
        <v>4</v>
      </c>
      <c r="L20" s="20" t="s">
        <v>5</v>
      </c>
      <c r="M20" s="20" t="s">
        <v>1517</v>
      </c>
      <c r="N20" s="20" t="s">
        <v>5</v>
      </c>
      <c r="O20" s="11" t="s">
        <v>1517</v>
      </c>
      <c r="P20" s="4">
        <v>0</v>
      </c>
    </row>
    <row r="21" spans="1:16" s="5" customFormat="1" ht="42" customHeight="1">
      <c r="A21" s="2">
        <v>17</v>
      </c>
      <c r="B21" s="12">
        <v>2544641014</v>
      </c>
      <c r="C21" s="12">
        <v>250371731036</v>
      </c>
      <c r="D21" s="13" t="s">
        <v>353</v>
      </c>
      <c r="E21" s="12" t="s">
        <v>24</v>
      </c>
      <c r="F21" s="19" t="s">
        <v>15</v>
      </c>
      <c r="G21" s="19" t="s">
        <v>34</v>
      </c>
      <c r="H21" s="20" t="s">
        <v>4</v>
      </c>
      <c r="I21" s="20" t="s">
        <v>2</v>
      </c>
      <c r="J21" s="20" t="s">
        <v>4</v>
      </c>
      <c r="K21" s="20" t="s">
        <v>4</v>
      </c>
      <c r="L21" s="20" t="s">
        <v>4</v>
      </c>
      <c r="M21" s="20" t="s">
        <v>3</v>
      </c>
      <c r="N21" s="20" t="s">
        <v>3</v>
      </c>
      <c r="O21" s="11" t="s">
        <v>17</v>
      </c>
      <c r="P21" s="4">
        <v>7.5384615384615383</v>
      </c>
    </row>
    <row r="22" spans="1:16" s="5" customFormat="1" ht="42" customHeight="1">
      <c r="A22" s="2">
        <v>18</v>
      </c>
      <c r="B22" s="12">
        <v>2544640073</v>
      </c>
      <c r="C22" s="12">
        <v>250371731038</v>
      </c>
      <c r="D22" s="13" t="s">
        <v>354</v>
      </c>
      <c r="E22" s="12" t="s">
        <v>24</v>
      </c>
      <c r="F22" s="19" t="s">
        <v>15</v>
      </c>
      <c r="G22" s="19" t="s">
        <v>34</v>
      </c>
      <c r="H22" s="20" t="s">
        <v>4</v>
      </c>
      <c r="I22" s="20" t="s">
        <v>11</v>
      </c>
      <c r="J22" s="20" t="s">
        <v>11</v>
      </c>
      <c r="K22" s="20" t="s">
        <v>4</v>
      </c>
      <c r="L22" s="20" t="s">
        <v>5</v>
      </c>
      <c r="M22" s="20" t="s">
        <v>6</v>
      </c>
      <c r="N22" s="20" t="s">
        <v>6</v>
      </c>
      <c r="O22" s="11" t="s">
        <v>17</v>
      </c>
      <c r="P22" s="4">
        <v>5.4230769230769234</v>
      </c>
    </row>
    <row r="23" spans="1:16" s="5" customFormat="1" ht="42" customHeight="1">
      <c r="A23" s="2">
        <v>19</v>
      </c>
      <c r="B23" s="12">
        <v>2544640586</v>
      </c>
      <c r="C23" s="12">
        <v>250371731039</v>
      </c>
      <c r="D23" s="13" t="s">
        <v>355</v>
      </c>
      <c r="E23" s="12" t="s">
        <v>24</v>
      </c>
      <c r="F23" s="19" t="s">
        <v>15</v>
      </c>
      <c r="G23" s="19" t="s">
        <v>34</v>
      </c>
      <c r="H23" s="20" t="s">
        <v>3</v>
      </c>
      <c r="I23" s="20" t="s">
        <v>6</v>
      </c>
      <c r="J23" s="20" t="s">
        <v>11</v>
      </c>
      <c r="K23" s="20" t="s">
        <v>6</v>
      </c>
      <c r="L23" s="20" t="s">
        <v>4</v>
      </c>
      <c r="M23" s="20" t="s">
        <v>4</v>
      </c>
      <c r="N23" s="20" t="s">
        <v>4</v>
      </c>
      <c r="O23" s="11" t="s">
        <v>17</v>
      </c>
      <c r="P23" s="4">
        <v>6.115384615384615</v>
      </c>
    </row>
    <row r="24" spans="1:16" s="5" customFormat="1" ht="42" hidden="1" customHeight="1">
      <c r="A24" s="2">
        <v>20</v>
      </c>
      <c r="B24" s="12">
        <v>2544640148</v>
      </c>
      <c r="C24" s="12">
        <v>250371731040</v>
      </c>
      <c r="D24" s="13" t="s">
        <v>356</v>
      </c>
      <c r="E24" s="12" t="s">
        <v>24</v>
      </c>
      <c r="F24" s="19" t="s">
        <v>15</v>
      </c>
      <c r="G24" s="19" t="s">
        <v>34</v>
      </c>
      <c r="H24" s="20" t="s">
        <v>1516</v>
      </c>
      <c r="I24" s="20" t="s">
        <v>1516</v>
      </c>
      <c r="J24" s="20" t="s">
        <v>1516</v>
      </c>
      <c r="K24" s="20" t="s">
        <v>1516</v>
      </c>
      <c r="L24" s="20" t="s">
        <v>1516</v>
      </c>
      <c r="M24" s="20" t="s">
        <v>1516</v>
      </c>
      <c r="N24" s="20" t="s">
        <v>1516</v>
      </c>
      <c r="O24" s="11" t="s">
        <v>1516</v>
      </c>
      <c r="P24" s="4">
        <v>0</v>
      </c>
    </row>
    <row r="25" spans="1:16" s="5" customFormat="1" ht="42" customHeight="1">
      <c r="A25" s="2">
        <v>21</v>
      </c>
      <c r="B25" s="12">
        <v>2544640209</v>
      </c>
      <c r="C25" s="12">
        <v>250371731041</v>
      </c>
      <c r="D25" s="13" t="s">
        <v>357</v>
      </c>
      <c r="E25" s="12" t="s">
        <v>24</v>
      </c>
      <c r="F25" s="19" t="s">
        <v>15</v>
      </c>
      <c r="G25" s="19" t="s">
        <v>34</v>
      </c>
      <c r="H25" s="20" t="s">
        <v>3</v>
      </c>
      <c r="I25" s="20" t="s">
        <v>4</v>
      </c>
      <c r="J25" s="20" t="s">
        <v>4</v>
      </c>
      <c r="K25" s="20" t="s">
        <v>4</v>
      </c>
      <c r="L25" s="20" t="s">
        <v>4</v>
      </c>
      <c r="M25" s="20" t="s">
        <v>3</v>
      </c>
      <c r="N25" s="20" t="s">
        <v>3</v>
      </c>
      <c r="O25" s="11" t="s">
        <v>17</v>
      </c>
      <c r="P25" s="4">
        <v>7.4230769230769234</v>
      </c>
    </row>
    <row r="26" spans="1:16" s="5" customFormat="1" ht="42" customHeight="1">
      <c r="A26" s="2">
        <v>22</v>
      </c>
      <c r="B26" s="12">
        <v>2544640162</v>
      </c>
      <c r="C26" s="12">
        <v>250371731043</v>
      </c>
      <c r="D26" s="13" t="s">
        <v>358</v>
      </c>
      <c r="E26" s="12" t="s">
        <v>24</v>
      </c>
      <c r="F26" s="19" t="s">
        <v>15</v>
      </c>
      <c r="G26" s="19" t="s">
        <v>34</v>
      </c>
      <c r="H26" s="20" t="s">
        <v>3</v>
      </c>
      <c r="I26" s="20" t="s">
        <v>11</v>
      </c>
      <c r="J26" s="20" t="s">
        <v>5</v>
      </c>
      <c r="K26" s="20" t="s">
        <v>6</v>
      </c>
      <c r="L26" s="20" t="s">
        <v>5</v>
      </c>
      <c r="M26" s="20" t="s">
        <v>4</v>
      </c>
      <c r="N26" s="20" t="s">
        <v>5</v>
      </c>
      <c r="O26" s="11" t="s">
        <v>17</v>
      </c>
      <c r="P26" s="4">
        <v>6</v>
      </c>
    </row>
    <row r="27" spans="1:16" s="5" customFormat="1" ht="42" customHeight="1">
      <c r="A27" s="2">
        <v>23</v>
      </c>
      <c r="B27" s="12">
        <v>2544640717</v>
      </c>
      <c r="C27" s="12">
        <v>250371731044</v>
      </c>
      <c r="D27" s="13" t="s">
        <v>359</v>
      </c>
      <c r="E27" s="12" t="s">
        <v>24</v>
      </c>
      <c r="F27" s="19" t="s">
        <v>15</v>
      </c>
      <c r="G27" s="19" t="s">
        <v>34</v>
      </c>
      <c r="H27" s="20" t="s">
        <v>3</v>
      </c>
      <c r="I27" s="20" t="s">
        <v>5</v>
      </c>
      <c r="J27" s="20" t="s">
        <v>4</v>
      </c>
      <c r="K27" s="20" t="s">
        <v>4</v>
      </c>
      <c r="L27" s="20" t="s">
        <v>4</v>
      </c>
      <c r="M27" s="20" t="s">
        <v>4</v>
      </c>
      <c r="N27" s="20" t="s">
        <v>3</v>
      </c>
      <c r="O27" s="11" t="s">
        <v>17</v>
      </c>
      <c r="P27" s="4">
        <v>7.1538461538461542</v>
      </c>
    </row>
    <row r="28" spans="1:16" s="5" customFormat="1" ht="42" customHeight="1">
      <c r="A28" s="2">
        <v>24</v>
      </c>
      <c r="B28" s="12">
        <v>2544640117</v>
      </c>
      <c r="C28" s="12">
        <v>250371731045</v>
      </c>
      <c r="D28" s="13" t="s">
        <v>360</v>
      </c>
      <c r="E28" s="12" t="s">
        <v>24</v>
      </c>
      <c r="F28" s="19" t="s">
        <v>15</v>
      </c>
      <c r="G28" s="19" t="s">
        <v>34</v>
      </c>
      <c r="H28" s="20" t="s">
        <v>3</v>
      </c>
      <c r="I28" s="20" t="s">
        <v>4</v>
      </c>
      <c r="J28" s="20" t="s">
        <v>6</v>
      </c>
      <c r="K28" s="20" t="s">
        <v>4</v>
      </c>
      <c r="L28" s="20" t="s">
        <v>5</v>
      </c>
      <c r="M28" s="20" t="s">
        <v>5</v>
      </c>
      <c r="N28" s="20" t="s">
        <v>5</v>
      </c>
      <c r="O28" s="11" t="s">
        <v>17</v>
      </c>
      <c r="P28" s="4">
        <v>6.3461538461538458</v>
      </c>
    </row>
    <row r="29" spans="1:16" s="5" customFormat="1" ht="42" customHeight="1">
      <c r="A29" s="2">
        <v>25</v>
      </c>
      <c r="B29" s="12">
        <v>2544640785</v>
      </c>
      <c r="C29" s="12">
        <v>250371731048</v>
      </c>
      <c r="D29" s="13" t="s">
        <v>361</v>
      </c>
      <c r="E29" s="12" t="s">
        <v>24</v>
      </c>
      <c r="F29" s="19" t="s">
        <v>15</v>
      </c>
      <c r="G29" s="19" t="s">
        <v>34</v>
      </c>
      <c r="H29" s="20" t="s">
        <v>2</v>
      </c>
      <c r="I29" s="20" t="s">
        <v>4</v>
      </c>
      <c r="J29" s="20" t="s">
        <v>3</v>
      </c>
      <c r="K29" s="20" t="s">
        <v>4</v>
      </c>
      <c r="L29" s="20" t="s">
        <v>4</v>
      </c>
      <c r="M29" s="20" t="s">
        <v>3</v>
      </c>
      <c r="N29" s="20" t="s">
        <v>3</v>
      </c>
      <c r="O29" s="11" t="s">
        <v>17</v>
      </c>
      <c r="P29" s="4">
        <v>7.6923076923076925</v>
      </c>
    </row>
    <row r="30" spans="1:16" s="5" customFormat="1" ht="42" hidden="1" customHeight="1">
      <c r="A30" s="2">
        <v>26</v>
      </c>
      <c r="B30" s="12">
        <v>2544640215</v>
      </c>
      <c r="C30" s="12">
        <v>250371731054</v>
      </c>
      <c r="D30" s="13" t="s">
        <v>362</v>
      </c>
      <c r="E30" s="12" t="s">
        <v>24</v>
      </c>
      <c r="F30" s="19" t="s">
        <v>15</v>
      </c>
      <c r="G30" s="19" t="s">
        <v>34</v>
      </c>
      <c r="H30" s="20" t="s">
        <v>4</v>
      </c>
      <c r="I30" s="20" t="s">
        <v>4</v>
      </c>
      <c r="J30" s="20" t="s">
        <v>6</v>
      </c>
      <c r="K30" s="20" t="s">
        <v>4</v>
      </c>
      <c r="L30" s="20" t="s">
        <v>1517</v>
      </c>
      <c r="M30" s="20" t="s">
        <v>4</v>
      </c>
      <c r="N30" s="20" t="s">
        <v>4</v>
      </c>
      <c r="O30" s="11" t="s">
        <v>1517</v>
      </c>
      <c r="P30" s="4">
        <v>0</v>
      </c>
    </row>
  </sheetData>
  <autoFilter ref="A3:P30">
    <filterColumn colId="6"/>
    <filterColumn colId="10"/>
    <filterColumn colId="11"/>
    <filterColumn colId="12"/>
    <filterColumn colId="13"/>
    <filterColumn colId="14">
      <filters>
        <filter val="PASS"/>
      </filters>
    </filterColumn>
  </autoFilter>
  <mergeCells count="10">
    <mergeCell ref="A2:P2"/>
    <mergeCell ref="A1:P1"/>
    <mergeCell ref="G3:G4"/>
    <mergeCell ref="P3:P4"/>
    <mergeCell ref="A3:A4"/>
    <mergeCell ref="B3:B4"/>
    <mergeCell ref="C3:C4"/>
    <mergeCell ref="D3:D4"/>
    <mergeCell ref="E3:E4"/>
    <mergeCell ref="F3:F4"/>
  </mergeCells>
  <pageMargins left="0.7" right="0.7" top="0.75" bottom="0.75" header="0.3" footer="0.3"/>
  <pageSetup paperSize="8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>
  <sheetPr filterMode="1"/>
  <dimension ref="A1:P30"/>
  <sheetViews>
    <sheetView topLeftCell="C19" workbookViewId="0">
      <selection activeCell="L39" sqref="L39"/>
    </sheetView>
  </sheetViews>
  <sheetFormatPr defaultRowHeight="15"/>
  <cols>
    <col min="1" max="1" width="6.5703125" style="6" bestFit="1" customWidth="1"/>
    <col min="2" max="2" width="16.28515625" style="6" customWidth="1"/>
    <col min="3" max="3" width="18.28515625" style="6" bestFit="1" customWidth="1"/>
    <col min="4" max="4" width="44.5703125" style="6" customWidth="1"/>
    <col min="5" max="5" width="12.140625" style="9" customWidth="1"/>
    <col min="6" max="7" width="13.42578125" style="6" customWidth="1"/>
    <col min="8" max="8" width="17.85546875" style="6" customWidth="1"/>
    <col min="9" max="9" width="18.5703125" style="6" customWidth="1"/>
    <col min="10" max="10" width="18.85546875" style="6" customWidth="1"/>
    <col min="11" max="15" width="17.85546875" style="6" customWidth="1"/>
    <col min="16" max="16" width="8.5703125" style="7" bestFit="1" customWidth="1"/>
    <col min="17" max="16384" width="9.140625" style="6"/>
  </cols>
  <sheetData>
    <row r="1" spans="1:16" s="8" customFormat="1" ht="127.5" customHeight="1">
      <c r="A1" s="53" t="s">
        <v>1</v>
      </c>
      <c r="B1" s="53" t="s">
        <v>16</v>
      </c>
      <c r="C1" s="53" t="s">
        <v>12</v>
      </c>
      <c r="D1" s="53" t="s">
        <v>13</v>
      </c>
      <c r="E1" s="53" t="s">
        <v>14</v>
      </c>
      <c r="F1" s="53" t="s">
        <v>0</v>
      </c>
      <c r="G1" s="53" t="s">
        <v>31</v>
      </c>
      <c r="H1" s="1" t="s">
        <v>78</v>
      </c>
      <c r="I1" s="1" t="s">
        <v>83</v>
      </c>
      <c r="J1" s="1" t="s">
        <v>80</v>
      </c>
      <c r="K1" s="1" t="s">
        <v>333</v>
      </c>
      <c r="L1" s="1" t="s">
        <v>334</v>
      </c>
      <c r="M1" s="1" t="s">
        <v>335</v>
      </c>
      <c r="N1" s="1" t="s">
        <v>336</v>
      </c>
      <c r="O1" s="1" t="s">
        <v>10</v>
      </c>
      <c r="P1" s="55" t="s">
        <v>9</v>
      </c>
    </row>
    <row r="2" spans="1:16" s="8" customFormat="1" ht="29.25" hidden="1" customHeight="1">
      <c r="A2" s="54"/>
      <c r="B2" s="54"/>
      <c r="C2" s="54"/>
      <c r="D2" s="54"/>
      <c r="E2" s="54"/>
      <c r="F2" s="54"/>
      <c r="G2" s="54"/>
      <c r="H2" s="10">
        <v>3</v>
      </c>
      <c r="I2" s="10">
        <v>3</v>
      </c>
      <c r="J2" s="10">
        <v>4</v>
      </c>
      <c r="K2" s="10">
        <v>4</v>
      </c>
      <c r="L2" s="10">
        <v>4</v>
      </c>
      <c r="M2" s="10">
        <v>4</v>
      </c>
      <c r="N2" s="10">
        <v>4</v>
      </c>
      <c r="O2" s="10">
        <f>SUM(H2:N2)</f>
        <v>26</v>
      </c>
      <c r="P2" s="56"/>
    </row>
    <row r="3" spans="1:16" s="5" customFormat="1" ht="42" customHeight="1">
      <c r="A3" s="2">
        <v>1</v>
      </c>
      <c r="B3" s="12">
        <v>2544641024</v>
      </c>
      <c r="C3" s="12">
        <v>250371731001</v>
      </c>
      <c r="D3" s="13" t="s">
        <v>363</v>
      </c>
      <c r="E3" s="14" t="s">
        <v>24</v>
      </c>
      <c r="F3" s="15" t="s">
        <v>15</v>
      </c>
      <c r="G3" s="15" t="s">
        <v>85</v>
      </c>
      <c r="H3" s="3" t="s">
        <v>4</v>
      </c>
      <c r="I3" s="16" t="s">
        <v>2</v>
      </c>
      <c r="J3" s="16" t="s">
        <v>2</v>
      </c>
      <c r="K3" s="16" t="s">
        <v>4</v>
      </c>
      <c r="L3" s="16" t="s">
        <v>3</v>
      </c>
      <c r="M3" s="16" t="s">
        <v>3</v>
      </c>
      <c r="N3" s="16" t="s">
        <v>4</v>
      </c>
      <c r="O3" s="11" t="s">
        <v>17</v>
      </c>
      <c r="P3" s="4">
        <v>7.8461538461538458</v>
      </c>
    </row>
    <row r="4" spans="1:16" s="5" customFormat="1" ht="42" customHeight="1">
      <c r="A4" s="2">
        <v>2</v>
      </c>
      <c r="B4" s="12">
        <v>2544641023</v>
      </c>
      <c r="C4" s="12">
        <v>250371731002</v>
      </c>
      <c r="D4" s="13" t="s">
        <v>364</v>
      </c>
      <c r="E4" s="14" t="s">
        <v>24</v>
      </c>
      <c r="F4" s="15" t="s">
        <v>15</v>
      </c>
      <c r="G4" s="15" t="s">
        <v>85</v>
      </c>
      <c r="H4" s="3" t="s">
        <v>3</v>
      </c>
      <c r="I4" s="16" t="s">
        <v>2</v>
      </c>
      <c r="J4" s="16" t="s">
        <v>2</v>
      </c>
      <c r="K4" s="16" t="s">
        <v>4</v>
      </c>
      <c r="L4" s="16" t="s">
        <v>3</v>
      </c>
      <c r="M4" s="16" t="s">
        <v>3</v>
      </c>
      <c r="N4" s="16" t="s">
        <v>2</v>
      </c>
      <c r="O4" s="11" t="s">
        <v>17</v>
      </c>
      <c r="P4" s="4">
        <v>8.2692307692307701</v>
      </c>
    </row>
    <row r="5" spans="1:16" s="5" customFormat="1" ht="42" customHeight="1">
      <c r="A5" s="2">
        <v>3</v>
      </c>
      <c r="B5" s="12">
        <v>2544640852</v>
      </c>
      <c r="C5" s="12">
        <v>250371731003</v>
      </c>
      <c r="D5" s="13" t="s">
        <v>365</v>
      </c>
      <c r="E5" s="14" t="s">
        <v>24</v>
      </c>
      <c r="F5" s="15" t="s">
        <v>15</v>
      </c>
      <c r="G5" s="15" t="s">
        <v>85</v>
      </c>
      <c r="H5" s="3" t="s">
        <v>11</v>
      </c>
      <c r="I5" s="16" t="s">
        <v>5</v>
      </c>
      <c r="J5" s="16" t="s">
        <v>6</v>
      </c>
      <c r="K5" s="16" t="s">
        <v>5</v>
      </c>
      <c r="L5" s="16" t="s">
        <v>5</v>
      </c>
      <c r="M5" s="16" t="s">
        <v>6</v>
      </c>
      <c r="N5" s="16" t="s">
        <v>5</v>
      </c>
      <c r="O5" s="11" t="s">
        <v>17</v>
      </c>
      <c r="P5" s="4">
        <v>5.4615384615384617</v>
      </c>
    </row>
    <row r="6" spans="1:16" s="5" customFormat="1" ht="42" customHeight="1">
      <c r="A6" s="2">
        <v>4</v>
      </c>
      <c r="B6" s="12">
        <v>2544641007</v>
      </c>
      <c r="C6" s="12">
        <v>250371731005</v>
      </c>
      <c r="D6" s="13" t="s">
        <v>366</v>
      </c>
      <c r="E6" s="14" t="s">
        <v>24</v>
      </c>
      <c r="F6" s="15" t="s">
        <v>15</v>
      </c>
      <c r="G6" s="15" t="s">
        <v>85</v>
      </c>
      <c r="H6" s="3" t="s">
        <v>2</v>
      </c>
      <c r="I6" s="16" t="s">
        <v>8</v>
      </c>
      <c r="J6" s="16" t="s">
        <v>4</v>
      </c>
      <c r="K6" s="16" t="s">
        <v>4</v>
      </c>
      <c r="L6" s="16" t="s">
        <v>3</v>
      </c>
      <c r="M6" s="16" t="s">
        <v>3</v>
      </c>
      <c r="N6" s="16" t="s">
        <v>3</v>
      </c>
      <c r="O6" s="11" t="s">
        <v>17</v>
      </c>
      <c r="P6" s="4">
        <v>8.0384615384615383</v>
      </c>
    </row>
    <row r="7" spans="1:16" s="5" customFormat="1" ht="42" hidden="1" customHeight="1">
      <c r="A7" s="2">
        <v>5</v>
      </c>
      <c r="B7" s="12">
        <v>2544640856</v>
      </c>
      <c r="C7" s="12">
        <v>250371731008</v>
      </c>
      <c r="D7" s="13" t="s">
        <v>367</v>
      </c>
      <c r="E7" s="14" t="s">
        <v>24</v>
      </c>
      <c r="F7" s="15" t="s">
        <v>15</v>
      </c>
      <c r="G7" s="15" t="s">
        <v>85</v>
      </c>
      <c r="H7" s="3" t="s">
        <v>3</v>
      </c>
      <c r="I7" s="16" t="s">
        <v>6</v>
      </c>
      <c r="J7" s="16" t="s">
        <v>11</v>
      </c>
      <c r="K7" s="16" t="s">
        <v>7</v>
      </c>
      <c r="L7" s="16" t="s">
        <v>6</v>
      </c>
      <c r="M7" s="16" t="s">
        <v>6</v>
      </c>
      <c r="N7" s="16" t="s">
        <v>6</v>
      </c>
      <c r="O7" s="11" t="s">
        <v>7</v>
      </c>
      <c r="P7" s="4">
        <v>0</v>
      </c>
    </row>
    <row r="8" spans="1:16" s="5" customFormat="1" ht="42" customHeight="1">
      <c r="A8" s="2">
        <v>6</v>
      </c>
      <c r="B8" s="12">
        <v>2544640056</v>
      </c>
      <c r="C8" s="12">
        <v>250371731010</v>
      </c>
      <c r="D8" s="13" t="s">
        <v>368</v>
      </c>
      <c r="E8" s="14" t="s">
        <v>24</v>
      </c>
      <c r="F8" s="15" t="s">
        <v>15</v>
      </c>
      <c r="G8" s="15" t="s">
        <v>85</v>
      </c>
      <c r="H8" s="3" t="s">
        <v>3</v>
      </c>
      <c r="I8" s="16" t="s">
        <v>4</v>
      </c>
      <c r="J8" s="16" t="s">
        <v>11</v>
      </c>
      <c r="K8" s="16" t="s">
        <v>5</v>
      </c>
      <c r="L8" s="16" t="s">
        <v>3</v>
      </c>
      <c r="M8" s="16" t="s">
        <v>3</v>
      </c>
      <c r="N8" s="16" t="s">
        <v>3</v>
      </c>
      <c r="O8" s="11" t="s">
        <v>17</v>
      </c>
      <c r="P8" s="4">
        <v>6.9615384615384617</v>
      </c>
    </row>
    <row r="9" spans="1:16" s="5" customFormat="1" ht="42" customHeight="1">
      <c r="A9" s="2">
        <v>7</v>
      </c>
      <c r="B9" s="12">
        <v>2544641004</v>
      </c>
      <c r="C9" s="12">
        <v>250371731012</v>
      </c>
      <c r="D9" s="13" t="s">
        <v>369</v>
      </c>
      <c r="E9" s="14" t="s">
        <v>24</v>
      </c>
      <c r="F9" s="15" t="s">
        <v>15</v>
      </c>
      <c r="G9" s="15" t="s">
        <v>85</v>
      </c>
      <c r="H9" s="3" t="s">
        <v>3</v>
      </c>
      <c r="I9" s="16" t="s">
        <v>2</v>
      </c>
      <c r="J9" s="16" t="s">
        <v>3</v>
      </c>
      <c r="K9" s="16" t="s">
        <v>3</v>
      </c>
      <c r="L9" s="16" t="s">
        <v>4</v>
      </c>
      <c r="M9" s="16" t="s">
        <v>5</v>
      </c>
      <c r="N9" s="16" t="s">
        <v>4</v>
      </c>
      <c r="O9" s="11" t="s">
        <v>17</v>
      </c>
      <c r="P9" s="4">
        <v>7.5</v>
      </c>
    </row>
    <row r="10" spans="1:16" s="5" customFormat="1" ht="42" customHeight="1">
      <c r="A10" s="2">
        <v>8</v>
      </c>
      <c r="B10" s="12">
        <v>2544641008</v>
      </c>
      <c r="C10" s="12">
        <v>250371731013</v>
      </c>
      <c r="D10" s="13" t="s">
        <v>370</v>
      </c>
      <c r="E10" s="14" t="s">
        <v>24</v>
      </c>
      <c r="F10" s="15" t="s">
        <v>15</v>
      </c>
      <c r="G10" s="15" t="s">
        <v>85</v>
      </c>
      <c r="H10" s="3" t="s">
        <v>2</v>
      </c>
      <c r="I10" s="16" t="s">
        <v>2</v>
      </c>
      <c r="J10" s="16" t="s">
        <v>4</v>
      </c>
      <c r="K10" s="16" t="s">
        <v>3</v>
      </c>
      <c r="L10" s="16" t="s">
        <v>4</v>
      </c>
      <c r="M10" s="16" t="s">
        <v>3</v>
      </c>
      <c r="N10" s="16" t="s">
        <v>3</v>
      </c>
      <c r="O10" s="11" t="s">
        <v>17</v>
      </c>
      <c r="P10" s="4">
        <v>7.9230769230769234</v>
      </c>
    </row>
    <row r="11" spans="1:16" s="5" customFormat="1" ht="42" customHeight="1">
      <c r="A11" s="2">
        <v>9</v>
      </c>
      <c r="B11" s="12">
        <v>2544640922</v>
      </c>
      <c r="C11" s="12">
        <v>250371731014</v>
      </c>
      <c r="D11" s="13" t="s">
        <v>371</v>
      </c>
      <c r="E11" s="14" t="s">
        <v>24</v>
      </c>
      <c r="F11" s="15" t="s">
        <v>15</v>
      </c>
      <c r="G11" s="15" t="s">
        <v>85</v>
      </c>
      <c r="H11" s="3" t="s">
        <v>3</v>
      </c>
      <c r="I11" s="16" t="s">
        <v>4</v>
      </c>
      <c r="J11" s="16" t="s">
        <v>11</v>
      </c>
      <c r="K11" s="16" t="s">
        <v>4</v>
      </c>
      <c r="L11" s="16" t="s">
        <v>4</v>
      </c>
      <c r="M11" s="16" t="s">
        <v>5</v>
      </c>
      <c r="N11" s="16" t="s">
        <v>4</v>
      </c>
      <c r="O11" s="11" t="s">
        <v>17</v>
      </c>
      <c r="P11" s="4">
        <v>6.5</v>
      </c>
    </row>
    <row r="12" spans="1:16" s="5" customFormat="1" ht="42" customHeight="1">
      <c r="A12" s="2">
        <v>10</v>
      </c>
      <c r="B12" s="12">
        <v>2544640688</v>
      </c>
      <c r="C12" s="12">
        <v>250371731016</v>
      </c>
      <c r="D12" s="13" t="s">
        <v>372</v>
      </c>
      <c r="E12" s="14" t="s">
        <v>24</v>
      </c>
      <c r="F12" s="15" t="s">
        <v>15</v>
      </c>
      <c r="G12" s="15" t="s">
        <v>85</v>
      </c>
      <c r="H12" s="3" t="s">
        <v>3</v>
      </c>
      <c r="I12" s="16" t="s">
        <v>3</v>
      </c>
      <c r="J12" s="16" t="s">
        <v>6</v>
      </c>
      <c r="K12" s="16" t="s">
        <v>3</v>
      </c>
      <c r="L12" s="16" t="s">
        <v>4</v>
      </c>
      <c r="M12" s="16" t="s">
        <v>4</v>
      </c>
      <c r="N12" s="16" t="s">
        <v>4</v>
      </c>
      <c r="O12" s="11" t="s">
        <v>17</v>
      </c>
      <c r="P12" s="4">
        <v>7.0769230769230766</v>
      </c>
    </row>
    <row r="13" spans="1:16" s="5" customFormat="1" ht="42" customHeight="1">
      <c r="A13" s="2">
        <v>11</v>
      </c>
      <c r="B13" s="12">
        <v>2544640157</v>
      </c>
      <c r="C13" s="12">
        <v>250371731017</v>
      </c>
      <c r="D13" s="13" t="s">
        <v>373</v>
      </c>
      <c r="E13" s="14" t="s">
        <v>24</v>
      </c>
      <c r="F13" s="15" t="s">
        <v>15</v>
      </c>
      <c r="G13" s="15" t="s">
        <v>85</v>
      </c>
      <c r="H13" s="3" t="s">
        <v>3</v>
      </c>
      <c r="I13" s="16" t="s">
        <v>2</v>
      </c>
      <c r="J13" s="16" t="s">
        <v>4</v>
      </c>
      <c r="K13" s="16" t="s">
        <v>4</v>
      </c>
      <c r="L13" s="16" t="s">
        <v>5</v>
      </c>
      <c r="M13" s="16" t="s">
        <v>4</v>
      </c>
      <c r="N13" s="16" t="s">
        <v>4</v>
      </c>
      <c r="O13" s="11" t="s">
        <v>17</v>
      </c>
      <c r="P13" s="4">
        <v>7.1923076923076925</v>
      </c>
    </row>
    <row r="14" spans="1:16" s="5" customFormat="1" ht="42" customHeight="1">
      <c r="A14" s="2">
        <v>12</v>
      </c>
      <c r="B14" s="12">
        <v>2544640977</v>
      </c>
      <c r="C14" s="12">
        <v>250371731018</v>
      </c>
      <c r="D14" s="13" t="s">
        <v>374</v>
      </c>
      <c r="E14" s="14" t="s">
        <v>24</v>
      </c>
      <c r="F14" s="15" t="s">
        <v>15</v>
      </c>
      <c r="G14" s="15" t="s">
        <v>85</v>
      </c>
      <c r="H14" s="3" t="s">
        <v>3</v>
      </c>
      <c r="I14" s="16" t="s">
        <v>4</v>
      </c>
      <c r="J14" s="16" t="s">
        <v>6</v>
      </c>
      <c r="K14" s="16" t="s">
        <v>4</v>
      </c>
      <c r="L14" s="16" t="s">
        <v>5</v>
      </c>
      <c r="M14" s="16" t="s">
        <v>5</v>
      </c>
      <c r="N14" s="16" t="s">
        <v>5</v>
      </c>
      <c r="O14" s="11" t="s">
        <v>17</v>
      </c>
      <c r="P14" s="4">
        <v>6.3461538461538458</v>
      </c>
    </row>
    <row r="15" spans="1:16" s="5" customFormat="1" ht="42" customHeight="1">
      <c r="A15" s="2">
        <v>13</v>
      </c>
      <c r="B15" s="12">
        <v>2544640059</v>
      </c>
      <c r="C15" s="12">
        <v>250371731020</v>
      </c>
      <c r="D15" s="13" t="s">
        <v>375</v>
      </c>
      <c r="E15" s="14" t="s">
        <v>24</v>
      </c>
      <c r="F15" s="15" t="s">
        <v>15</v>
      </c>
      <c r="G15" s="15" t="s">
        <v>85</v>
      </c>
      <c r="H15" s="3" t="s">
        <v>2</v>
      </c>
      <c r="I15" s="16" t="s">
        <v>3</v>
      </c>
      <c r="J15" s="16" t="s">
        <v>3</v>
      </c>
      <c r="K15" s="16" t="s">
        <v>3</v>
      </c>
      <c r="L15" s="16" t="s">
        <v>4</v>
      </c>
      <c r="M15" s="16" t="s">
        <v>3</v>
      </c>
      <c r="N15" s="16" t="s">
        <v>3</v>
      </c>
      <c r="O15" s="11" t="s">
        <v>17</v>
      </c>
      <c r="P15" s="4">
        <v>7.9615384615384617</v>
      </c>
    </row>
    <row r="16" spans="1:16" s="5" customFormat="1" ht="42" customHeight="1">
      <c r="A16" s="2">
        <v>14</v>
      </c>
      <c r="B16" s="12">
        <v>2544641009</v>
      </c>
      <c r="C16" s="12">
        <v>250371731021</v>
      </c>
      <c r="D16" s="13" t="s">
        <v>376</v>
      </c>
      <c r="E16" s="14" t="s">
        <v>24</v>
      </c>
      <c r="F16" s="15" t="s">
        <v>15</v>
      </c>
      <c r="G16" s="15" t="s">
        <v>85</v>
      </c>
      <c r="H16" s="3" t="s">
        <v>3</v>
      </c>
      <c r="I16" s="16" t="s">
        <v>4</v>
      </c>
      <c r="J16" s="16" t="s">
        <v>2</v>
      </c>
      <c r="K16" s="16" t="s">
        <v>4</v>
      </c>
      <c r="L16" s="16" t="s">
        <v>3</v>
      </c>
      <c r="M16" s="16" t="s">
        <v>3</v>
      </c>
      <c r="N16" s="16" t="s">
        <v>3</v>
      </c>
      <c r="O16" s="11" t="s">
        <v>17</v>
      </c>
      <c r="P16" s="4">
        <v>7.884615384615385</v>
      </c>
    </row>
    <row r="17" spans="1:16" s="5" customFormat="1" ht="42" customHeight="1">
      <c r="A17" s="2">
        <v>15</v>
      </c>
      <c r="B17" s="12">
        <v>2544640145</v>
      </c>
      <c r="C17" s="12">
        <v>250371731024</v>
      </c>
      <c r="D17" s="13" t="s">
        <v>377</v>
      </c>
      <c r="E17" s="14" t="s">
        <v>24</v>
      </c>
      <c r="F17" s="15" t="s">
        <v>15</v>
      </c>
      <c r="G17" s="15" t="s">
        <v>85</v>
      </c>
      <c r="H17" s="3" t="s">
        <v>2</v>
      </c>
      <c r="I17" s="16" t="s">
        <v>4</v>
      </c>
      <c r="J17" s="16" t="s">
        <v>11</v>
      </c>
      <c r="K17" s="16" t="s">
        <v>4</v>
      </c>
      <c r="L17" s="16" t="s">
        <v>4</v>
      </c>
      <c r="M17" s="16" t="s">
        <v>3</v>
      </c>
      <c r="N17" s="16" t="s">
        <v>4</v>
      </c>
      <c r="O17" s="11" t="s">
        <v>17</v>
      </c>
      <c r="P17" s="4">
        <v>6.9230769230769234</v>
      </c>
    </row>
    <row r="18" spans="1:16" s="5" customFormat="1" ht="42" hidden="1" customHeight="1">
      <c r="A18" s="2">
        <v>16</v>
      </c>
      <c r="B18" s="12">
        <v>2544640190</v>
      </c>
      <c r="C18" s="12">
        <v>250371731027</v>
      </c>
      <c r="D18" s="13" t="s">
        <v>378</v>
      </c>
      <c r="E18" s="14" t="s">
        <v>24</v>
      </c>
      <c r="F18" s="15" t="s">
        <v>15</v>
      </c>
      <c r="G18" s="15" t="s">
        <v>85</v>
      </c>
      <c r="H18" s="3" t="s">
        <v>4</v>
      </c>
      <c r="I18" s="16" t="s">
        <v>4</v>
      </c>
      <c r="J18" s="16" t="s">
        <v>6</v>
      </c>
      <c r="K18" s="16" t="s">
        <v>4</v>
      </c>
      <c r="L18" s="16" t="s">
        <v>6</v>
      </c>
      <c r="M18" s="16" t="s">
        <v>1517</v>
      </c>
      <c r="N18" s="16" t="s">
        <v>11</v>
      </c>
      <c r="O18" s="11" t="s">
        <v>1517</v>
      </c>
      <c r="P18" s="4">
        <v>0</v>
      </c>
    </row>
    <row r="19" spans="1:16" s="5" customFormat="1" ht="42" customHeight="1">
      <c r="A19" s="2">
        <v>17</v>
      </c>
      <c r="B19" s="12">
        <v>2544641010</v>
      </c>
      <c r="C19" s="12">
        <v>250371731032</v>
      </c>
      <c r="D19" s="13" t="s">
        <v>379</v>
      </c>
      <c r="E19" s="14" t="s">
        <v>24</v>
      </c>
      <c r="F19" s="15" t="s">
        <v>15</v>
      </c>
      <c r="G19" s="15" t="s">
        <v>85</v>
      </c>
      <c r="H19" s="3" t="s">
        <v>3</v>
      </c>
      <c r="I19" s="16" t="s">
        <v>5</v>
      </c>
      <c r="J19" s="16" t="s">
        <v>6</v>
      </c>
      <c r="K19" s="16" t="s">
        <v>5</v>
      </c>
      <c r="L19" s="16" t="s">
        <v>4</v>
      </c>
      <c r="M19" s="16" t="s">
        <v>5</v>
      </c>
      <c r="N19" s="16" t="s">
        <v>5</v>
      </c>
      <c r="O19" s="11" t="s">
        <v>17</v>
      </c>
      <c r="P19" s="4">
        <v>6.2307692307692308</v>
      </c>
    </row>
    <row r="20" spans="1:16" s="5" customFormat="1" ht="42" customHeight="1">
      <c r="A20" s="2">
        <v>18</v>
      </c>
      <c r="B20" s="12">
        <v>2544641003</v>
      </c>
      <c r="C20" s="12">
        <v>250371731033</v>
      </c>
      <c r="D20" s="13" t="s">
        <v>380</v>
      </c>
      <c r="E20" s="14" t="s">
        <v>24</v>
      </c>
      <c r="F20" s="15" t="s">
        <v>15</v>
      </c>
      <c r="G20" s="15" t="s">
        <v>85</v>
      </c>
      <c r="H20" s="3" t="s">
        <v>3</v>
      </c>
      <c r="I20" s="16" t="s">
        <v>4</v>
      </c>
      <c r="J20" s="16" t="s">
        <v>11</v>
      </c>
      <c r="K20" s="16" t="s">
        <v>5</v>
      </c>
      <c r="L20" s="16" t="s">
        <v>6</v>
      </c>
      <c r="M20" s="16" t="s">
        <v>3</v>
      </c>
      <c r="N20" s="16" t="s">
        <v>5</v>
      </c>
      <c r="O20" s="11" t="s">
        <v>17</v>
      </c>
      <c r="P20" s="4">
        <v>6.1923076923076925</v>
      </c>
    </row>
    <row r="21" spans="1:16" s="5" customFormat="1" ht="42" customHeight="1">
      <c r="A21" s="2">
        <v>19</v>
      </c>
      <c r="B21" s="12">
        <v>2544641019</v>
      </c>
      <c r="C21" s="12">
        <v>250371731035</v>
      </c>
      <c r="D21" s="13" t="s">
        <v>381</v>
      </c>
      <c r="E21" s="14" t="s">
        <v>24</v>
      </c>
      <c r="F21" s="15" t="s">
        <v>15</v>
      </c>
      <c r="G21" s="15" t="s">
        <v>85</v>
      </c>
      <c r="H21" s="3" t="s">
        <v>2</v>
      </c>
      <c r="I21" s="16" t="s">
        <v>3</v>
      </c>
      <c r="J21" s="16" t="s">
        <v>5</v>
      </c>
      <c r="K21" s="16" t="s">
        <v>4</v>
      </c>
      <c r="L21" s="16" t="s">
        <v>4</v>
      </c>
      <c r="M21" s="16" t="s">
        <v>4</v>
      </c>
      <c r="N21" s="16" t="s">
        <v>3</v>
      </c>
      <c r="O21" s="11" t="s">
        <v>17</v>
      </c>
      <c r="P21" s="4">
        <v>7.3461538461538458</v>
      </c>
    </row>
    <row r="22" spans="1:16" s="5" customFormat="1" ht="42" customHeight="1">
      <c r="A22" s="2">
        <v>20</v>
      </c>
      <c r="B22" s="12">
        <v>2544641018</v>
      </c>
      <c r="C22" s="12">
        <v>250371731037</v>
      </c>
      <c r="D22" s="13" t="s">
        <v>382</v>
      </c>
      <c r="E22" s="14" t="s">
        <v>24</v>
      </c>
      <c r="F22" s="15" t="s">
        <v>15</v>
      </c>
      <c r="G22" s="15" t="s">
        <v>85</v>
      </c>
      <c r="H22" s="3" t="s">
        <v>4</v>
      </c>
      <c r="I22" s="16" t="s">
        <v>6</v>
      </c>
      <c r="J22" s="16" t="s">
        <v>11</v>
      </c>
      <c r="K22" s="16" t="s">
        <v>6</v>
      </c>
      <c r="L22" s="16" t="s">
        <v>6</v>
      </c>
      <c r="M22" s="16" t="s">
        <v>6</v>
      </c>
      <c r="N22" s="16" t="s">
        <v>11</v>
      </c>
      <c r="O22" s="11" t="s">
        <v>17</v>
      </c>
      <c r="P22" s="4">
        <v>4.9230769230769234</v>
      </c>
    </row>
    <row r="23" spans="1:16" s="5" customFormat="1" ht="42" customHeight="1">
      <c r="A23" s="2">
        <v>21</v>
      </c>
      <c r="B23" s="12">
        <v>2544640349</v>
      </c>
      <c r="C23" s="12">
        <v>250371731042</v>
      </c>
      <c r="D23" s="13" t="s">
        <v>383</v>
      </c>
      <c r="E23" s="14" t="s">
        <v>24</v>
      </c>
      <c r="F23" s="15" t="s">
        <v>15</v>
      </c>
      <c r="G23" s="15" t="s">
        <v>85</v>
      </c>
      <c r="H23" s="3" t="s">
        <v>3</v>
      </c>
      <c r="I23" s="16" t="s">
        <v>5</v>
      </c>
      <c r="J23" s="16" t="s">
        <v>6</v>
      </c>
      <c r="K23" s="16" t="s">
        <v>4</v>
      </c>
      <c r="L23" s="16" t="s">
        <v>5</v>
      </c>
      <c r="M23" s="16" t="s">
        <v>4</v>
      </c>
      <c r="N23" s="16" t="s">
        <v>4</v>
      </c>
      <c r="O23" s="11" t="s">
        <v>17</v>
      </c>
      <c r="P23" s="4">
        <v>6.5384615384615383</v>
      </c>
    </row>
    <row r="24" spans="1:16" s="5" customFormat="1" ht="42" customHeight="1">
      <c r="A24" s="2">
        <v>22</v>
      </c>
      <c r="B24" s="12">
        <v>2544640520</v>
      </c>
      <c r="C24" s="12">
        <v>250371731046</v>
      </c>
      <c r="D24" s="13" t="s">
        <v>384</v>
      </c>
      <c r="E24" s="14" t="s">
        <v>24</v>
      </c>
      <c r="F24" s="15" t="s">
        <v>15</v>
      </c>
      <c r="G24" s="15" t="s">
        <v>85</v>
      </c>
      <c r="H24" s="3" t="s">
        <v>3</v>
      </c>
      <c r="I24" s="16" t="s">
        <v>4</v>
      </c>
      <c r="J24" s="16" t="s">
        <v>6</v>
      </c>
      <c r="K24" s="16" t="s">
        <v>3</v>
      </c>
      <c r="L24" s="16" t="s">
        <v>5</v>
      </c>
      <c r="M24" s="16" t="s">
        <v>6</v>
      </c>
      <c r="N24" s="16" t="s">
        <v>5</v>
      </c>
      <c r="O24" s="11" t="s">
        <v>17</v>
      </c>
      <c r="P24" s="4">
        <v>6.3461538461538458</v>
      </c>
    </row>
    <row r="25" spans="1:16" s="5" customFormat="1" ht="42" customHeight="1">
      <c r="A25" s="2">
        <v>23</v>
      </c>
      <c r="B25" s="12">
        <v>2544641049</v>
      </c>
      <c r="C25" s="12">
        <v>250371731047</v>
      </c>
      <c r="D25" s="13" t="s">
        <v>385</v>
      </c>
      <c r="E25" s="14" t="s">
        <v>24</v>
      </c>
      <c r="F25" s="15" t="s">
        <v>15</v>
      </c>
      <c r="G25" s="15" t="s">
        <v>85</v>
      </c>
      <c r="H25" s="3" t="s">
        <v>4</v>
      </c>
      <c r="I25" s="16" t="s">
        <v>5</v>
      </c>
      <c r="J25" s="16" t="s">
        <v>6</v>
      </c>
      <c r="K25" s="16" t="s">
        <v>6</v>
      </c>
      <c r="L25" s="16" t="s">
        <v>5</v>
      </c>
      <c r="M25" s="16" t="s">
        <v>5</v>
      </c>
      <c r="N25" s="16" t="s">
        <v>11</v>
      </c>
      <c r="O25" s="11" t="s">
        <v>17</v>
      </c>
      <c r="P25" s="4">
        <v>5.5</v>
      </c>
    </row>
    <row r="26" spans="1:16" s="5" customFormat="1" ht="42" customHeight="1">
      <c r="A26" s="2">
        <v>24</v>
      </c>
      <c r="B26" s="12">
        <v>2544641005</v>
      </c>
      <c r="C26" s="12">
        <v>250371731049</v>
      </c>
      <c r="D26" s="13" t="s">
        <v>386</v>
      </c>
      <c r="E26" s="14" t="s">
        <v>24</v>
      </c>
      <c r="F26" s="15" t="s">
        <v>15</v>
      </c>
      <c r="G26" s="15" t="s">
        <v>85</v>
      </c>
      <c r="H26" s="3" t="s">
        <v>4</v>
      </c>
      <c r="I26" s="16" t="s">
        <v>6</v>
      </c>
      <c r="J26" s="16" t="s">
        <v>6</v>
      </c>
      <c r="K26" s="16" t="s">
        <v>4</v>
      </c>
      <c r="L26" s="16" t="s">
        <v>5</v>
      </c>
      <c r="M26" s="16" t="s">
        <v>4</v>
      </c>
      <c r="N26" s="16" t="s">
        <v>4</v>
      </c>
      <c r="O26" s="11" t="s">
        <v>17</v>
      </c>
      <c r="P26" s="4">
        <v>6.3076923076923075</v>
      </c>
    </row>
    <row r="27" spans="1:16" s="5" customFormat="1" ht="42" customHeight="1">
      <c r="A27" s="2">
        <v>25</v>
      </c>
      <c r="B27" s="12">
        <v>2544641006</v>
      </c>
      <c r="C27" s="12">
        <v>250371731050</v>
      </c>
      <c r="D27" s="13" t="s">
        <v>387</v>
      </c>
      <c r="E27" s="14" t="s">
        <v>24</v>
      </c>
      <c r="F27" s="15" t="s">
        <v>15</v>
      </c>
      <c r="G27" s="15" t="s">
        <v>85</v>
      </c>
      <c r="H27" s="3" t="s">
        <v>3</v>
      </c>
      <c r="I27" s="16" t="s">
        <v>3</v>
      </c>
      <c r="J27" s="16" t="s">
        <v>3</v>
      </c>
      <c r="K27" s="16" t="s">
        <v>4</v>
      </c>
      <c r="L27" s="16" t="s">
        <v>4</v>
      </c>
      <c r="M27" s="16" t="s">
        <v>3</v>
      </c>
      <c r="N27" s="16" t="s">
        <v>2</v>
      </c>
      <c r="O27" s="11" t="s">
        <v>17</v>
      </c>
      <c r="P27" s="4">
        <v>7.8461538461538458</v>
      </c>
    </row>
    <row r="28" spans="1:16" s="5" customFormat="1" ht="42" hidden="1" customHeight="1">
      <c r="A28" s="2">
        <v>26</v>
      </c>
      <c r="B28" s="12">
        <v>2544640845</v>
      </c>
      <c r="C28" s="12">
        <v>250371731051</v>
      </c>
      <c r="D28" s="13" t="s">
        <v>388</v>
      </c>
      <c r="E28" s="14" t="s">
        <v>24</v>
      </c>
      <c r="F28" s="15" t="s">
        <v>15</v>
      </c>
      <c r="G28" s="15" t="s">
        <v>85</v>
      </c>
      <c r="H28" s="3" t="s">
        <v>5</v>
      </c>
      <c r="I28" s="16" t="s">
        <v>6</v>
      </c>
      <c r="J28" s="16" t="s">
        <v>11</v>
      </c>
      <c r="K28" s="16" t="s">
        <v>4</v>
      </c>
      <c r="L28" s="16" t="s">
        <v>5</v>
      </c>
      <c r="M28" s="16" t="s">
        <v>7</v>
      </c>
      <c r="N28" s="16" t="s">
        <v>5</v>
      </c>
      <c r="O28" s="11" t="s">
        <v>7</v>
      </c>
      <c r="P28" s="4">
        <v>0</v>
      </c>
    </row>
    <row r="29" spans="1:16" s="5" customFormat="1" ht="42" customHeight="1">
      <c r="A29" s="2">
        <v>27</v>
      </c>
      <c r="B29" s="12">
        <v>2544640868</v>
      </c>
      <c r="C29" s="12">
        <v>250371731052</v>
      </c>
      <c r="D29" s="13" t="s">
        <v>389</v>
      </c>
      <c r="E29" s="14" t="s">
        <v>24</v>
      </c>
      <c r="F29" s="15" t="s">
        <v>15</v>
      </c>
      <c r="G29" s="15" t="s">
        <v>85</v>
      </c>
      <c r="H29" s="3" t="s">
        <v>4</v>
      </c>
      <c r="I29" s="16" t="s">
        <v>6</v>
      </c>
      <c r="J29" s="16" t="s">
        <v>11</v>
      </c>
      <c r="K29" s="16" t="s">
        <v>4</v>
      </c>
      <c r="L29" s="16" t="s">
        <v>4</v>
      </c>
      <c r="M29" s="16" t="s">
        <v>6</v>
      </c>
      <c r="N29" s="16" t="s">
        <v>6</v>
      </c>
      <c r="O29" s="11" t="s">
        <v>17</v>
      </c>
      <c r="P29" s="4">
        <v>5.6923076923076925</v>
      </c>
    </row>
    <row r="30" spans="1:16" s="5" customFormat="1" ht="42" customHeight="1">
      <c r="A30" s="2">
        <v>28</v>
      </c>
      <c r="B30" s="12">
        <v>2544640846</v>
      </c>
      <c r="C30" s="12">
        <v>250371731053</v>
      </c>
      <c r="D30" s="13" t="s">
        <v>390</v>
      </c>
      <c r="E30" s="14" t="s">
        <v>24</v>
      </c>
      <c r="F30" s="15" t="s">
        <v>15</v>
      </c>
      <c r="G30" s="15" t="s">
        <v>85</v>
      </c>
      <c r="H30" s="3" t="s">
        <v>5</v>
      </c>
      <c r="I30" s="16" t="s">
        <v>4</v>
      </c>
      <c r="J30" s="16" t="s">
        <v>11</v>
      </c>
      <c r="K30" s="16" t="s">
        <v>4</v>
      </c>
      <c r="L30" s="16" t="s">
        <v>4</v>
      </c>
      <c r="M30" s="16" t="s">
        <v>5</v>
      </c>
      <c r="N30" s="16" t="s">
        <v>5</v>
      </c>
      <c r="O30" s="11" t="s">
        <v>17</v>
      </c>
      <c r="P30" s="4">
        <v>6.115384615384615</v>
      </c>
    </row>
  </sheetData>
  <autoFilter ref="A1:P30">
    <filterColumn colId="6"/>
    <filterColumn colId="11"/>
    <filterColumn colId="12"/>
    <filterColumn colId="13"/>
    <filterColumn colId="14">
      <filters>
        <filter val="PASS"/>
      </filters>
    </filterColumn>
  </autoFilter>
  <mergeCells count="8">
    <mergeCell ref="G1:G2"/>
    <mergeCell ref="P1:P2"/>
    <mergeCell ref="A1:A2"/>
    <mergeCell ref="B1:B2"/>
    <mergeCell ref="C1:C2"/>
    <mergeCell ref="D1:D2"/>
    <mergeCell ref="E1:E2"/>
    <mergeCell ref="F1:F2"/>
  </mergeCells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activeCell="E4" sqref="E4"/>
    </sheetView>
  </sheetViews>
  <sheetFormatPr defaultRowHeight="1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sheetPr>
    <tabColor rgb="FF00B050"/>
  </sheetPr>
  <dimension ref="A1:T3"/>
  <sheetViews>
    <sheetView zoomScale="70" zoomScaleNormal="70" workbookViewId="0">
      <pane ySplit="2" topLeftCell="A3" activePane="bottomLeft" state="frozen"/>
      <selection activeCell="E4" sqref="E4"/>
      <selection pane="bottomLeft" activeCell="E4" sqref="E4"/>
    </sheetView>
  </sheetViews>
  <sheetFormatPr defaultRowHeight="15"/>
  <cols>
    <col min="1" max="1" width="6.5703125" style="6" bestFit="1" customWidth="1"/>
    <col min="2" max="2" width="16.28515625" style="6" customWidth="1"/>
    <col min="3" max="3" width="19.5703125" style="6" bestFit="1" customWidth="1"/>
    <col min="4" max="4" width="19.5703125" style="6" customWidth="1"/>
    <col min="5" max="5" width="44.5703125" style="6" customWidth="1"/>
    <col min="6" max="6" width="12.140625" style="9" customWidth="1"/>
    <col min="7" max="8" width="13.42578125" style="6" customWidth="1"/>
    <col min="9" max="16384" width="9.140625" style="6"/>
  </cols>
  <sheetData>
    <row r="1" spans="1:20" s="8" customFormat="1" ht="127.5" customHeight="1">
      <c r="A1" s="53" t="s">
        <v>1</v>
      </c>
      <c r="B1" s="53" t="s">
        <v>16</v>
      </c>
      <c r="C1" s="53" t="s">
        <v>12</v>
      </c>
      <c r="D1" s="38" t="s">
        <v>1520</v>
      </c>
      <c r="E1" s="53" t="s">
        <v>13</v>
      </c>
      <c r="F1" s="53" t="s">
        <v>14</v>
      </c>
      <c r="G1" s="53" t="s">
        <v>0</v>
      </c>
      <c r="H1" s="53" t="s">
        <v>31</v>
      </c>
      <c r="I1" s="1" t="s">
        <v>78</v>
      </c>
      <c r="J1" s="1" t="s">
        <v>79</v>
      </c>
      <c r="K1" s="1" t="s">
        <v>1533</v>
      </c>
      <c r="L1" s="1" t="s">
        <v>1534</v>
      </c>
      <c r="M1" s="1" t="s">
        <v>1535</v>
      </c>
      <c r="N1" s="1" t="s">
        <v>1536</v>
      </c>
      <c r="O1" s="1" t="s">
        <v>1537</v>
      </c>
      <c r="P1" s="1" t="s">
        <v>1538</v>
      </c>
      <c r="Q1" s="1" t="s">
        <v>1539</v>
      </c>
      <c r="R1" s="1" t="s">
        <v>1540</v>
      </c>
      <c r="S1" s="1" t="s">
        <v>10</v>
      </c>
      <c r="T1" s="60" t="s">
        <v>9</v>
      </c>
    </row>
    <row r="2" spans="1:20" s="8" customFormat="1" ht="29.25" customHeight="1">
      <c r="A2" s="54"/>
      <c r="B2" s="54"/>
      <c r="C2" s="54"/>
      <c r="D2" s="39"/>
      <c r="E2" s="54"/>
      <c r="F2" s="54"/>
      <c r="G2" s="54"/>
      <c r="H2" s="54"/>
      <c r="I2" s="10">
        <v>3</v>
      </c>
      <c r="J2" s="10">
        <v>3</v>
      </c>
      <c r="K2" s="10">
        <v>4</v>
      </c>
      <c r="L2" s="10">
        <v>3</v>
      </c>
      <c r="M2" s="10">
        <v>1</v>
      </c>
      <c r="N2" s="10">
        <v>3</v>
      </c>
      <c r="O2" s="10">
        <v>1</v>
      </c>
      <c r="P2" s="10">
        <v>2</v>
      </c>
      <c r="Q2" s="10">
        <v>1</v>
      </c>
      <c r="R2" s="10">
        <v>0</v>
      </c>
      <c r="S2" s="10">
        <f>SUM(I2:R2)</f>
        <v>21</v>
      </c>
      <c r="T2" s="60"/>
    </row>
    <row r="3" spans="1:20" s="5" customFormat="1" ht="42" customHeight="1">
      <c r="A3" s="2">
        <v>1</v>
      </c>
      <c r="B3" s="12">
        <v>2544640725</v>
      </c>
      <c r="C3" s="21">
        <v>250371509198</v>
      </c>
      <c r="D3" s="17">
        <v>252207</v>
      </c>
      <c r="E3" s="22" t="s">
        <v>935</v>
      </c>
      <c r="F3" s="12" t="s">
        <v>29</v>
      </c>
      <c r="G3" s="14" t="s">
        <v>15</v>
      </c>
      <c r="H3" s="19" t="s">
        <v>34</v>
      </c>
      <c r="I3" s="3" t="s">
        <v>6</v>
      </c>
      <c r="J3" s="16" t="s">
        <v>11</v>
      </c>
      <c r="K3" s="16" t="s">
        <v>11</v>
      </c>
      <c r="L3" s="16" t="s">
        <v>11</v>
      </c>
      <c r="M3" s="16" t="s">
        <v>2</v>
      </c>
      <c r="N3" s="16" t="s">
        <v>11</v>
      </c>
      <c r="O3" s="16" t="s">
        <v>4</v>
      </c>
      <c r="P3" s="16" t="s">
        <v>5</v>
      </c>
      <c r="Q3" s="16" t="s">
        <v>2</v>
      </c>
      <c r="R3" s="16" t="s">
        <v>2</v>
      </c>
      <c r="S3" s="11" t="s">
        <v>17</v>
      </c>
      <c r="T3" s="4">
        <v>4.9523809523809526</v>
      </c>
    </row>
  </sheetData>
  <autoFilter ref="A1:H3">
    <filterColumn colId="3"/>
    <filterColumn colId="7"/>
  </autoFilter>
  <mergeCells count="8">
    <mergeCell ref="H1:H2"/>
    <mergeCell ref="T1:T2"/>
    <mergeCell ref="A1:A2"/>
    <mergeCell ref="B1:B2"/>
    <mergeCell ref="C1:C2"/>
    <mergeCell ref="E1:E2"/>
    <mergeCell ref="F1:F2"/>
    <mergeCell ref="G1:G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35</vt:i4>
      </vt:variant>
      <vt:variant>
        <vt:lpstr>Named Ranges</vt:lpstr>
      </vt:variant>
      <vt:variant>
        <vt:i4>10</vt:i4>
      </vt:variant>
    </vt:vector>
  </HeadingPairs>
  <TitlesOfParts>
    <vt:vector size="45" baseType="lpstr">
      <vt:lpstr>BCOM-TEL</vt:lpstr>
      <vt:lpstr>BCOM-HIN</vt:lpstr>
      <vt:lpstr>BCOM-TEL-POINTS</vt:lpstr>
      <vt:lpstr>CS TEL</vt:lpstr>
      <vt:lpstr>CS HIN</vt:lpstr>
      <vt:lpstr>CS DIS</vt:lpstr>
      <vt:lpstr>DS TEL</vt:lpstr>
      <vt:lpstr>DS HIN</vt:lpstr>
      <vt:lpstr>MB TEL</vt:lpstr>
      <vt:lpstr>MB HIN</vt:lpstr>
      <vt:lpstr>MB DIS</vt:lpstr>
      <vt:lpstr>FISH TEL</vt:lpstr>
      <vt:lpstr>FISH HIN</vt:lpstr>
      <vt:lpstr>ANIM TEL </vt:lpstr>
      <vt:lpstr>ANIM HIN</vt:lpstr>
      <vt:lpstr>AI-TEL</vt:lpstr>
      <vt:lpstr>AI-HIN</vt:lpstr>
      <vt:lpstr>CHEM TEL</vt:lpstr>
      <vt:lpstr>CHEM HIN</vt:lpstr>
      <vt:lpstr>BBA TEL</vt:lpstr>
      <vt:lpstr>BBA HIN</vt:lpstr>
      <vt:lpstr>BBA DM-TEL</vt:lpstr>
      <vt:lpstr>BBA DM-HIN</vt:lpstr>
      <vt:lpstr>BBA BA-TEL</vt:lpstr>
      <vt:lpstr>BBA BA-HIN</vt:lpstr>
      <vt:lpstr>BCA TEL</vt:lpstr>
      <vt:lpstr>BCA HIN</vt:lpstr>
      <vt:lpstr>BCA DIS</vt:lpstr>
      <vt:lpstr>BCA DS TEL</vt:lpstr>
      <vt:lpstr>BCA DS HIN</vt:lpstr>
      <vt:lpstr>BCA DS DIS</vt:lpstr>
      <vt:lpstr>BFSI TEL</vt:lpstr>
      <vt:lpstr>BFSI HIN</vt:lpstr>
      <vt:lpstr>Sheet1</vt:lpstr>
      <vt:lpstr>CS-TEL-II-SEM</vt:lpstr>
      <vt:lpstr>'AI-HIN'!Print_Titles</vt:lpstr>
      <vt:lpstr>'AI-TEL'!Print_Titles</vt:lpstr>
      <vt:lpstr>'BBA BA-HIN'!Print_Titles</vt:lpstr>
      <vt:lpstr>'BBA BA-TEL'!Print_Titles</vt:lpstr>
      <vt:lpstr>'BBA DM-HIN'!Print_Titles</vt:lpstr>
      <vt:lpstr>'BBA DM-TEL'!Print_Titles</vt:lpstr>
      <vt:lpstr>'BBA HIN'!Print_Titles</vt:lpstr>
      <vt:lpstr>'BBA TEL'!Print_Titles</vt:lpstr>
      <vt:lpstr>'BCOM-HIN'!Print_Titles</vt:lpstr>
      <vt:lpstr>'BCOM-TEL-POINTS'!Print_Titles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CSN</dc:creator>
  <cp:lastModifiedBy>ADMIN-Ravi</cp:lastModifiedBy>
  <cp:lastPrinted>2026-09-26T04:55:15Z</cp:lastPrinted>
  <dcterms:created xsi:type="dcterms:W3CDTF">2025-03-12T09:59:36Z</dcterms:created>
  <dcterms:modified xsi:type="dcterms:W3CDTF">2026-09-26T05:57:50Z</dcterms:modified>
</cp:coreProperties>
</file>